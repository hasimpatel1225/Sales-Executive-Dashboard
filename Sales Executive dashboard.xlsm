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B0D0BF2EC3DBF15F/Documents/"/>
    </mc:Choice>
  </mc:AlternateContent>
  <xr:revisionPtr revIDLastSave="1413" documentId="8_{C834F650-8ADC-411D-9939-8B80253D9B22}" xr6:coauthVersionLast="47" xr6:coauthVersionMax="47" xr10:uidLastSave="{E447EAEF-8713-425D-81A1-E68E289D02C5}"/>
  <bookViews>
    <workbookView xWindow="-108" yWindow="-108" windowWidth="23256" windowHeight="12456" activeTab="2" xr2:uid="{81D512C5-DFD0-45A9-BA7A-3679803E1A90}"/>
  </bookViews>
  <sheets>
    <sheet name="Cleaned_Data" sheetId="1" r:id="rId1"/>
    <sheet name="Dashboard" sheetId="5" r:id="rId2"/>
    <sheet name="Raw Data" sheetId="6" r:id="rId3"/>
  </sheets>
  <definedNames>
    <definedName name="Slicer_Region1">#N/A</definedName>
  </definedNames>
  <calcPr calcId="191029"/>
  <pivotCaches>
    <pivotCache cacheId="1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<sst xmlns="http://schemas.openxmlformats.org/spreadsheetml/2006/main" count="914" uniqueCount="306">
  <si>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</si>
  <si>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</si>
  <si>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</si>
  <si>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</si>
  <si>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</si>
  <si>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</si>
  <si>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</si>
  <si>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</si>
  <si>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</si>
  <si>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</si>
  <si>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</si>
  <si>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</si>
  <si>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</si>
  <si>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</si>
  <si>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</si>
  <si>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</si>
  <si>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</si>
  <si>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</si>
  <si>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</si>
  <si>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</si>
  <si>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</si>
  <si>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</si>
  <si>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</si>
  <si>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</si>
  <si>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</si>
  <si>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</si>
  <si>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</si>
  <si>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</si>
  <si>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</si>
  <si>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</si>
  <si>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</si>
  <si>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</si>
  <si>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</si>
  <si>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</si>
  <si>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</si>
  <si>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</si>
  <si>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</si>
  <si>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</si>
  <si>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</si>
  <si>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</si>
  <si>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</si>
  <si>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</si>
  <si>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</si>
  <si>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</si>
  <si>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</si>
  <si>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</si>
  <si>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</si>
  <si>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</si>
  <si>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</si>
  <si>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</si>
  <si>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</si>
  <si>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</si>
  <si>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</si>
  <si>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</si>
  <si>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</si>
  <si>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</si>
  <si>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</si>
  <si>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</si>
  <si>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</si>
  <si>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</si>
  <si>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</si>
  <si>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</si>
  <si>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</si>
  <si>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</si>
  <si>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</si>
  <si>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</si>
  <si>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</si>
  <si>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</si>
  <si>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</si>
  <si>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</si>
  <si>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</si>
  <si>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</si>
  <si>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</si>
  <si>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</si>
  <si>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</si>
  <si>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</si>
  <si>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</si>
  <si>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</si>
  <si>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</si>
  <si>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</si>
  <si>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</si>
  <si>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</si>
  <si>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</si>
  <si>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</si>
  <si>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</si>
  <si>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</si>
  <si>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</si>
  <si>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</si>
  <si>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</si>
  <si>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</si>
  <si>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</si>
  <si>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</si>
  <si>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</si>
  <si>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</si>
  <si>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</si>
  <si>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</si>
  <si>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</si>
  <si>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</si>
  <si>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</si>
  <si>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</si>
  <si>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</si>
  <si>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</si>
  <si>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</si>
  <si>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</si>
  <si>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</si>
  <si>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</si>
  <si>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</si>
  <si>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</si>
  <si>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</si>
  <si>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</si>
  <si>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</si>
  <si>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</si>
  <si>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</si>
  <si>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</si>
  <si>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</si>
  <si>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</si>
  <si>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</si>
  <si>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</si>
  <si>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</si>
  <si>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</si>
  <si>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</si>
  <si>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</si>
  <si>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</si>
  <si>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</si>
  <si>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</si>
  <si>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</si>
  <si>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</si>
  <si>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</si>
  <si>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</si>
  <si>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</si>
  <si>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</si>
  <si>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</si>
  <si>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</si>
  <si>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</si>
  <si>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</si>
  <si>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</si>
  <si>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</si>
  <si>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</si>
  <si>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</si>
  <si>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</si>
  <si>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</si>
  <si>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</si>
  <si>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</si>
  <si>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</si>
  <si>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</si>
  <si>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</si>
  <si>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</si>
  <si>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</si>
  <si>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</si>
  <si>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</si>
  <si>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</si>
  <si>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</si>
  <si>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</si>
  <si>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</si>
  <si>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</si>
  <si>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</si>
  <si>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</si>
  <si>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</si>
  <si>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</si>
  <si>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</si>
  <si>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</si>
  <si>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</si>
  <si>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</si>
  <si>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</si>
  <si>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</si>
  <si>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</si>
  <si>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</si>
  <si>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</si>
  <si>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</si>
  <si>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</si>
  <si>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</si>
  <si>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</si>
  <si>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</si>
  <si>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</si>
  <si>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</si>
  <si>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</si>
  <si>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</si>
  <si>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</si>
  <si>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</si>
  <si>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</si>
  <si>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</si>
  <si>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</si>
  <si>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</si>
  <si>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</si>
  <si>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</si>
  <si>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</si>
  <si>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</si>
  <si>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</si>
  <si>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</si>
  <si>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</si>
  <si>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</si>
  <si>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</si>
  <si>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</si>
  <si>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</si>
  <si>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</si>
  <si>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</si>
  <si>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</si>
  <si>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</si>
  <si>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</si>
  <si>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</si>
  <si>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</si>
  <si>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</si>
  <si>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</si>
  <si>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</si>
  <si>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</si>
  <si>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</si>
  <si>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</si>
  <si>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</si>
  <si>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</si>
  <si>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</si>
  <si>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</si>
  <si>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</si>
  <si>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</si>
  <si>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</si>
  <si>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</si>
  <si>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</si>
  <si>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</si>
  <si>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</si>
  <si>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</si>
  <si>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</si>
  <si>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</si>
  <si>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</si>
  <si>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</si>
  <si>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</si>
  <si>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</si>
  <si>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</si>
  <si>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</si>
  <si>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</si>
  <si>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</si>
  <si>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</si>
  <si>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</si>
  <si>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</si>
  <si>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</si>
  <si>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</si>
  <si>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</si>
  <si>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</si>
  <si>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</si>
  <si>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</si>
  <si>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</si>
  <si>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</si>
  <si>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</si>
  <si>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</si>
  <si>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</si>
  <si>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</si>
  <si>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</si>
  <si>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</si>
  <si>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</si>
  <si>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</si>
  <si>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</si>
  <si>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</si>
  <si>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</si>
  <si>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</si>
  <si>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</si>
  <si>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</si>
  <si>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</si>
  <si>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</si>
  <si>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</si>
  <si>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</si>
  <si>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</si>
  <si>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</si>
  <si>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</si>
  <si>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</si>
  <si>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</si>
  <si>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</si>
  <si>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</si>
  <si>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</si>
  <si>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</si>
  <si>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</si>
  <si>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</si>
  <si>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</si>
  <si>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</si>
  <si>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</si>
  <si>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</si>
  <si>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</si>
  <si>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</si>
  <si>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</si>
  <si>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</si>
  <si>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</si>
  <si>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</si>
  <si>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</si>
  <si>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</si>
  <si>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</si>
  <si>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</si>
  <si>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</si>
  <si>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</si>
  <si>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</si>
  <si>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</si>
  <si>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</si>
  <si>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</si>
  <si>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</si>
  <si>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</si>
  <si>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</si>
  <si>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</si>
  <si>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</si>
  <si>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</si>
  <si>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</si>
  <si>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</si>
  <si>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</si>
  <si>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</si>
  <si>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</si>
  <si>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</si>
  <si>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</si>
  <si>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</si>
  <si>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 xml:space="preserve">Total Sales  </t>
  </si>
  <si>
    <t>Rekha Jain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</si>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</sst>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1" tint="4.9989318521683403E-2"/>
      <name val="Calibri"/>
      <family val="2"/>
      <scheme val="minor"/>
    </font>
  </fonts>
  <fills count="3">
    <fill>
      <patternFill patternType="none"/>
    </fill>
    <fill>
      <patternFill patternType="gray125"/>
    </fill>
    <fill>
      <patternFill patternType="solid">
        <fgColor theme="2" tint="-9.9978637043366805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2" borderId="0" xfId="0" applyFill="1"/>
    <xf numFmtId="0" fontId="6" fillId="2" borderId="0" xfId="0" applyFont="1" applyFill="1"/>
    <xf numFmtId="0" fontId="6" fillId="0" borderId="0" xfId="0" applyFont="1"/>
    <xf numFmtId="0" fontId="2" fillId="0" borderId="2" xfId="0" applyFont="1" applyBorder="1" applyAlignment="1">
      <alignment horizontal="center" vertic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14" fontId="3" fillId="0" borderId="2" xfId="0" applyNumberFormat="1" applyFont="1" applyBorder="1" applyAlignment="1">
      <alignment horizontal="center" vertical="center"/>
    </xf>
    <xf numFmtId="0" fontId="0" fillId="0" borderId="1" xfId="0" applyBorder="1"/>
    <xf numFmtId="0" fontId="3" fillId="0" borderId="1" xfId="0" applyFont="1" applyBorder="1" applyAlignment="1">
      <alignment horizontal="center" vertical="center"/>
    </xf>
    <xf numFmtId="0" fontId="4" fillId="0" borderId="1" xfId="0" applyFont="1" applyBorder="1" applyAlignment="1">
      <alignment horizontal="center" vertical="center"/>
    </xf>
    <xf numFmtId="10" fontId="4" fillId="0" borderId="1" xfId="1" applyNumberFormat="1" applyFont="1" applyFill="1" applyBorder="1" applyAlignment="1">
      <alignment horizontal="center" vertical="center"/>
    </xf>
    <xf numFmtId="10" fontId="4" fillId="0" borderId="3" xfId="0" applyNumberFormat="1" applyFont="1" applyBorder="1" applyAlignment="1">
      <alignment horizontal="center" vertical="center"/>
    </xf>
    <xf numFmtId="0" fontId="0" fillId="0" borderId="1" xfId="0" applyBorder="1" applyAlignment="1">
      <alignment horizontal="center"/>
    </xf>
    <xf numFmtId="0" fontId="6" fillId="0" borderId="0" xfId="0" applyFont="1" applyFill="1"/>
    <xf numFmtId="0" fontId="0" fillId="0" borderId="0" xfId="0" applyFill="1" applyAlignment="1">
      <alignment horizontal="left"/>
    </xf>
    <xf numFmtId="10" fontId="0" fillId="0" borderId="0" xfId="0" applyNumberFormat="1" applyFill="1"/>
    <xf numFmtId="0" fontId="0" fillId="0" borderId="0" xfId="0" applyNumberFormat="1" applyFill="1"/>
  </cellXfs>
  <cellStyles count="2">
    <cellStyle name="Normal" xfId="0" builtinId="0"/>
    <cellStyle name="Percent" xfId="1" builtinId="5"/>
  </cellStyles>
  <dxfs count="101">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color theme="1" tint="4.9989318521683403E-2"/>
      </font>
    </dxf>
    <dxf>
      <font>
        <color theme="1" tint="4.9989318521683403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color theme="1" tint="4.9989318521683403E-2"/>
      </font>
    </dxf>
    <dxf>
      <font>
        <color theme="1" tint="4.9989318521683403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color theme="1" tint="4.9989318521683403E-2"/>
      </font>
    </dxf>
    <dxf>
      <font>
        <color theme="1" tint="4.9989318521683403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color theme="1" tint="4.9989318521683403E-2"/>
      </font>
    </dxf>
    <dxf>
      <font>
        <color theme="1" tint="4.9989318521683403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1" tint="4.9989318521683403E-2"/>
      </font>
    </dxf>
    <dxf>
      <font>
        <color theme="1" tint="4.9989318521683403E-2"/>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1" tint="4.9989318521683403E-2"/>
      </font>
    </dxf>
    <dxf>
      <font>
        <color theme="1" tint="4.9989318521683403E-2"/>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1" tint="4.9989318521683403E-2"/>
      </font>
    </dxf>
    <dxf>
      <font>
        <color theme="1" tint="4.9989318521683403E-2"/>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1" tint="4.9989318521683403E-2"/>
      </font>
    </dxf>
    <dxf>
      <font>
        <color theme="1" tint="4.9989318521683403E-2"/>
      </font>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b val="0"/>
        <i val="0"/>
        <strike val="0"/>
        <condense val="0"/>
        <extend val="0"/>
        <outline val="0"/>
        <shadow val="0"/>
        <u val="none"/>
        <vertAlign val="baseline"/>
        <sz val="10"/>
        <color rgb="FF000000"/>
        <name val="Calibri"/>
        <family val="2"/>
        <scheme val="minor"/>
      </font>
      <numFmt numFmtId="14"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rgb="FF000000"/>
        <name val="Calibri"/>
        <family val="2"/>
        <scheme val="minor"/>
      </font>
      <numFmt numFmtId="14"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dxf>
    <dxf>
      <font>
        <b val="0"/>
        <i val="0"/>
        <strike val="0"/>
        <condense val="0"/>
        <extend val="0"/>
        <outline val="0"/>
        <shadow val="0"/>
        <u val="none"/>
        <vertAlign val="baseline"/>
        <sz val="10"/>
        <color theme="1"/>
        <name val="Calibri"/>
        <family val="2"/>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ill>
        <patternFill patternType="none">
          <fgColor indexed="64"/>
          <bgColor auto="1"/>
        </patternFill>
      </fill>
    </dxf>
    <dxf>
      <font>
        <b/>
        <i val="0"/>
        <strike val="0"/>
        <condense val="0"/>
        <extend val="0"/>
        <outline val="0"/>
        <shadow val="0"/>
        <u val="none"/>
        <vertAlign val="baseline"/>
        <sz val="10"/>
        <color rgb="FF000000"/>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solid">
          <fgColor auto="1"/>
          <bgColor rgb="FF6699FF"/>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00"/>
    </tableStyle>
    <tableStyle name="Slicer Style 2" pivot="0" table="0" count="6" xr9:uid="{07D555D0-7796-4FAE-B0E6-F0BA7ABE2B84}">
      <tableStyleElement type="wholeTable" dxfId="99"/>
    </tableStyle>
  </tableStyles>
  <colors>
    <mruColors>
      <color rgb="FF6699FF"/>
    </mruColors>
  </colors>
  <extLst>
    <ext xmlns:x14="http://schemas.microsoft.com/office/spreadsheetml/2009/9/main" uri="{46F421CA-312F-682f-3DD2-61675219B42D}">
      <x14:dxfs count="9">
        <dxf>
          <fill>
            <patternFill>
              <bgColor theme="9" tint="0.59996337778862885"/>
            </patternFill>
          </fill>
        </dxf>
        <dxf>
          <fill>
            <patternFill>
              <bgColor theme="2" tint="-0.24994659260841701"/>
            </patternFill>
          </fill>
        </dxf>
        <dxf>
          <fill>
            <patternFill>
              <bgColor theme="0" tint="-0.24994659260841701"/>
            </patternFill>
          </fill>
        </dxf>
        <dxf>
          <fill>
            <patternFill>
              <bgColor theme="8" tint="0.39994506668294322"/>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excel.xlsm]Dashboard!PivotTable2</c:name>
    <c:fmtId val="0"/>
  </c:pivotSource>
  <c:chart>
    <c:autoTitleDeleted val="1"/>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Dashboard!$F$3</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Dashboard!$E$4:$E$8</c:f>
              <c:strCache>
                <c:ptCount val="5"/>
                <c:pt idx="0">
                  <c:v>Krishana Kumar</c:v>
                </c:pt>
                <c:pt idx="1">
                  <c:v>Manoj Kumar</c:v>
                </c:pt>
                <c:pt idx="2">
                  <c:v>Omprakash O</c:v>
                </c:pt>
                <c:pt idx="3">
                  <c:v>Rohit Nishchal</c:v>
                </c:pt>
                <c:pt idx="4">
                  <c:v>Swarnlata Borse</c:v>
                </c:pt>
              </c:strCache>
            </c:strRef>
          </c:cat>
          <c:val>
            <c:numRef>
              <c:f>Dashboard!$F$4:$F$8</c:f>
              <c:numCache>
                <c:formatCode>General</c:formatCode>
                <c:ptCount val="5"/>
                <c:pt idx="0">
                  <c:v>245</c:v>
                </c:pt>
                <c:pt idx="1">
                  <c:v>281</c:v>
                </c:pt>
                <c:pt idx="2">
                  <c:v>143</c:v>
                </c:pt>
                <c:pt idx="3">
                  <c:v>207</c:v>
                </c:pt>
                <c:pt idx="4">
                  <c:v>189</c:v>
                </c:pt>
              </c:numCache>
            </c:numRef>
          </c:val>
          <c:extLst>
            <c:ext xmlns:c16="http://schemas.microsoft.com/office/drawing/2014/chart" uri="{C3380CC4-5D6E-409C-BE32-E72D297353CC}">
              <c16:uniqueId val="{00000000-A637-4BEC-B503-B9E5F1AA212B}"/>
            </c:ext>
          </c:extLst>
        </c:ser>
        <c:dLbls>
          <c:dLblPos val="outEnd"/>
          <c:showLegendKey val="0"/>
          <c:showVal val="1"/>
          <c:showCatName val="0"/>
          <c:showSerName val="0"/>
          <c:showPercent val="0"/>
          <c:showBubbleSize val="0"/>
        </c:dLbls>
        <c:gapWidth val="182"/>
        <c:axId val="1663041024"/>
        <c:axId val="1663042464"/>
      </c:barChart>
      <c:catAx>
        <c:axId val="1663041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3042464"/>
        <c:crosses val="autoZero"/>
        <c:auto val="1"/>
        <c:lblAlgn val="ctr"/>
        <c:lblOffset val="100"/>
        <c:noMultiLvlLbl val="0"/>
      </c:catAx>
      <c:valAx>
        <c:axId val="1663042464"/>
        <c:scaling>
          <c:orientation val="minMax"/>
        </c:scaling>
        <c:delete val="1"/>
        <c:axPos val="b"/>
        <c:numFmt formatCode="General" sourceLinked="1"/>
        <c:majorTickMark val="none"/>
        <c:minorTickMark val="none"/>
        <c:tickLblPos val="nextTo"/>
        <c:crossAx val="1663041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excel.xlsm]Dashboard!PivotTable1</c:name>
    <c:fmtId val="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bg2">
                <a:lumMod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Dashboard!$C$3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FE3-48DC-9233-18107BFF746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FE3-48DC-9233-18107BFF746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FE3-48DC-9233-18107BFF746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FE3-48DC-9233-18107BFF746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FE3-48DC-9233-18107BFF7463}"/>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Dashboard!$B$4:$B$8</c:f>
              <c:strCache>
                <c:ptCount val="5"/>
                <c:pt idx="0">
                  <c:v>Kahkasha Parveen</c:v>
                </c:pt>
                <c:pt idx="1">
                  <c:v>Mukesh Nagar</c:v>
                </c:pt>
                <c:pt idx="2">
                  <c:v>Raj Verma</c:v>
                </c:pt>
                <c:pt idx="3">
                  <c:v>Sanju Ramdas</c:v>
                </c:pt>
                <c:pt idx="4">
                  <c:v>Sheeba Joseph</c:v>
                </c:pt>
              </c:strCache>
            </c:strRef>
          </c:cat>
          <c:val>
            <c:numRef>
              <c:f>Dashboard!$C$4:$C$8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6980-4085-B3A0-0FD1E3A7252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excel.xlsm]Dashboard!PivotTable4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4.9923665791776026E-2"/>
              <c:y val="-8.0983887430737825E-2"/>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6.1034776902887139E-2"/>
              <c:y val="-9.9502405949256342E-2"/>
            </c:manualLayout>
          </c:layout>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Krishana Kumar</c:v>
                </c:pt>
                <c:pt idx="1">
                  <c:v>Manoj Kumar</c:v>
                </c:pt>
                <c:pt idx="2">
                  <c:v>Omprakash O</c:v>
                </c:pt>
                <c:pt idx="3">
                  <c:v>Rohit Nishchal</c:v>
                </c:pt>
                <c:pt idx="4">
                  <c:v>Swarnlata Borse</c:v>
                </c:pt>
              </c:strCache>
            </c:strRef>
          </c:cat>
          <c:val>
            <c:numRef>
              <c:f>Dashboard!$L$4:$L$8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8BAE-4561-B007-B17049DB799F}"/>
            </c:ext>
          </c:extLst>
        </c:ser>
        <c:dLbls>
          <c:dLblPos val="t"/>
          <c:showLegendKey val="0"/>
          <c:showVal val="1"/>
          <c:showCatName val="0"/>
          <c:showSerName val="0"/>
          <c:showPercent val="0"/>
          <c:showBubbleSize val="0"/>
        </c:dLbls>
        <c:smooth val="0"/>
        <c:axId val="330177999"/>
        <c:axId val="330172239"/>
      </c:lineChart>
      <c:catAx>
        <c:axId val="330177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172239"/>
        <c:crosses val="autoZero"/>
        <c:auto val="1"/>
        <c:lblAlgn val="ctr"/>
        <c:lblOffset val="100"/>
        <c:noMultiLvlLbl val="0"/>
      </c:catAx>
      <c:valAx>
        <c:axId val="330172239"/>
        <c:scaling>
          <c:orientation val="minMax"/>
        </c:scaling>
        <c:delete val="1"/>
        <c:axPos val="l"/>
        <c:numFmt formatCode="0.00%" sourceLinked="1"/>
        <c:majorTickMark val="none"/>
        <c:minorTickMark val="none"/>
        <c:tickLblPos val="nextTo"/>
        <c:crossAx val="330177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225802</xdr:colOff>
      <xdr:row>1</xdr:row>
      <xdr:rowOff>177397</xdr:rowOff>
    </xdr:from>
    <xdr:to>
      <xdr:col>2</xdr:col>
      <xdr:colOff>126263</xdr:colOff>
      <xdr:row>1</xdr:row>
      <xdr:rowOff>611737</xdr:rowOff>
    </xdr:to>
    <xdr:sp macro="" textlink="">
      <xdr:nvSpPr>
        <xdr:cNvPr id="6" name="Speech Bubble: Rectangle with Corners Rounded 5">
          <a:extLst>
            <a:ext uri="{FF2B5EF4-FFF2-40B4-BE49-F238E27FC236}">
              <a16:creationId xmlns:a16="http://schemas.microsoft.com/office/drawing/2014/main" id="{0471E023-77D7-1079-42D6-1EB84EB65542}"/>
            </a:ext>
          </a:extLst>
        </xdr:cNvPr>
        <xdr:cNvSpPr/>
      </xdr:nvSpPr>
      <xdr:spPr>
        <a:xfrm>
          <a:off x="836612" y="491873"/>
          <a:ext cx="995080" cy="43434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xdr:twoCellAnchor>
    <xdr:from>
      <xdr:col>1</xdr:col>
      <xdr:colOff>21771</xdr:colOff>
      <xdr:row>8</xdr:row>
      <xdr:rowOff>104588</xdr:rowOff>
    </xdr:from>
    <xdr:to>
      <xdr:col>6</xdr:col>
      <xdr:colOff>29882</xdr:colOff>
      <xdr:row>20</xdr:row>
      <xdr:rowOff>108857</xdr:rowOff>
    </xdr:to>
    <xdr:graphicFrame macro="">
      <xdr:nvGraphicFramePr>
        <xdr:cNvPr id="2" name="Chart 1">
          <a:extLst>
            <a:ext uri="{FF2B5EF4-FFF2-40B4-BE49-F238E27FC236}">
              <a16:creationId xmlns:a16="http://schemas.microsoft.com/office/drawing/2014/main" id="{F59E61B4-AA4B-CA35-8C9A-08EC2FE0F3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159680</xdr:colOff>
      <xdr:row>8</xdr:row>
      <xdr:rowOff>107172</xdr:rowOff>
    </xdr:from>
    <xdr:to>
      <xdr:col>8</xdr:col>
      <xdr:colOff>1052308</xdr:colOff>
      <xdr:row>20</xdr:row>
      <xdr:rowOff>118058</xdr:rowOff>
    </xdr:to>
    <xdr:graphicFrame macro="">
      <xdr:nvGraphicFramePr>
        <xdr:cNvPr id="4" name="Chart 3">
          <a:extLst>
            <a:ext uri="{FF2B5EF4-FFF2-40B4-BE49-F238E27FC236}">
              <a16:creationId xmlns:a16="http://schemas.microsoft.com/office/drawing/2014/main" id="{A9D80ECE-1EC4-BF19-A93D-5F2A72C5D3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107470</xdr:colOff>
      <xdr:row>8</xdr:row>
      <xdr:rowOff>101281</xdr:rowOff>
    </xdr:from>
    <xdr:to>
      <xdr:col>12</xdr:col>
      <xdr:colOff>1708</xdr:colOff>
      <xdr:row>20</xdr:row>
      <xdr:rowOff>106724</xdr:rowOff>
    </xdr:to>
    <xdr:graphicFrame macro="">
      <xdr:nvGraphicFramePr>
        <xdr:cNvPr id="5" name="Chart 4">
          <a:extLst>
            <a:ext uri="{FF2B5EF4-FFF2-40B4-BE49-F238E27FC236}">
              <a16:creationId xmlns:a16="http://schemas.microsoft.com/office/drawing/2014/main" id="{48D01334-7988-6DE1-E5B9-37999497C1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577020</xdr:colOff>
      <xdr:row>0</xdr:row>
      <xdr:rowOff>114300</xdr:rowOff>
    </xdr:from>
    <xdr:to>
      <xdr:col>11</xdr:col>
      <xdr:colOff>1637331</xdr:colOff>
      <xdr:row>1</xdr:row>
      <xdr:rowOff>86225</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EAD8E97B-E6A2-147B-DBFA-768B68B702D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77020" y="114300"/>
              <a:ext cx="9670911" cy="4215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312420</xdr:colOff>
          <xdr:row>1</xdr:row>
          <xdr:rowOff>259080</xdr:rowOff>
        </xdr:from>
        <xdr:to>
          <xdr:col>2</xdr:col>
          <xdr:colOff>91440</xdr:colOff>
          <xdr:row>1</xdr:row>
          <xdr:rowOff>480060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211671</xdr:colOff>
      <xdr:row>1</xdr:row>
      <xdr:rowOff>172411</xdr:rowOff>
    </xdr:from>
    <xdr:to>
      <xdr:col>5</xdr:col>
      <xdr:colOff>112133</xdr:colOff>
      <xdr:row>1</xdr:row>
      <xdr:rowOff>606751</xdr:rowOff>
    </xdr:to>
    <xdr:sp macro="" textlink="">
      <xdr:nvSpPr>
        <xdr:cNvPr id="8" name="Speech Bubble: Rectangle with Corners Rounded 7">
          <a:extLst>
            <a:ext uri="{FF2B5EF4-FFF2-40B4-BE49-F238E27FC236}">
              <a16:creationId xmlns:a16="http://schemas.microsoft.com/office/drawing/2014/main" id="{2BB5C0B0-887E-4F1E-9F54-6BF75E3EA596}"/>
            </a:ext>
          </a:extLst>
        </xdr:cNvPr>
        <xdr:cNvSpPr/>
      </xdr:nvSpPr>
      <xdr:spPr>
        <a:xfrm>
          <a:off x="2848433" y="486887"/>
          <a:ext cx="995081" cy="43434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mc:AlternateContent xmlns:mc="http://schemas.openxmlformats.org/markup-compatibility/2006">
    <mc:Choice xmlns:a14="http://schemas.microsoft.com/office/drawing/2010/main" Requires="a14">
      <xdr:twoCellAnchor editAs="oneCell">
        <xdr:from>
          <xdr:col>4</xdr:col>
          <xdr:colOff>297180</xdr:colOff>
          <xdr:row>1</xdr:row>
          <xdr:rowOff>251460</xdr:rowOff>
        </xdr:from>
        <xdr:to>
          <xdr:col>5</xdr:col>
          <xdr:colOff>76200</xdr:colOff>
          <xdr:row>1</xdr:row>
          <xdr:rowOff>472440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269227</xdr:colOff>
      <xdr:row>1</xdr:row>
      <xdr:rowOff>170818</xdr:rowOff>
    </xdr:from>
    <xdr:to>
      <xdr:col>7</xdr:col>
      <xdr:colOff>1266225</xdr:colOff>
      <xdr:row>1</xdr:row>
      <xdr:rowOff>605158</xdr:rowOff>
    </xdr:to>
    <xdr:sp macro="" textlink="">
      <xdr:nvSpPr>
        <xdr:cNvPr id="9" name="Speech Bubble: Rectangle with Corners Rounded 8">
          <a:extLst>
            <a:ext uri="{FF2B5EF4-FFF2-40B4-BE49-F238E27FC236}">
              <a16:creationId xmlns:a16="http://schemas.microsoft.com/office/drawing/2014/main" id="{47961325-0D5B-435C-A107-B1D9B02FA754}"/>
            </a:ext>
          </a:extLst>
        </xdr:cNvPr>
        <xdr:cNvSpPr/>
      </xdr:nvSpPr>
      <xdr:spPr>
        <a:xfrm>
          <a:off x="4962179" y="485294"/>
          <a:ext cx="996998" cy="43434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mc:AlternateContent xmlns:mc="http://schemas.openxmlformats.org/markup-compatibility/2006">
    <mc:Choice xmlns:a14="http://schemas.microsoft.com/office/drawing/2010/main" Requires="a14">
      <xdr:twoCellAnchor editAs="oneCell">
        <xdr:from>
          <xdr:col>7</xdr:col>
          <xdr:colOff>358140</xdr:colOff>
          <xdr:row>1</xdr:row>
          <xdr:rowOff>251460</xdr:rowOff>
        </xdr:from>
        <xdr:to>
          <xdr:col>7</xdr:col>
          <xdr:colOff>1234440</xdr:colOff>
          <xdr:row>1</xdr:row>
          <xdr:rowOff>472440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386964</xdr:colOff>
      <xdr:row>1</xdr:row>
      <xdr:rowOff>178665</xdr:rowOff>
    </xdr:from>
    <xdr:to>
      <xdr:col>10</xdr:col>
      <xdr:colOff>1383225</xdr:colOff>
      <xdr:row>1</xdr:row>
      <xdr:rowOff>613005</xdr:rowOff>
    </xdr:to>
    <xdr:sp macro="" textlink="">
      <xdr:nvSpPr>
        <xdr:cNvPr id="10" name="Speech Bubble: Rectangle with Corners Rounded 9">
          <a:extLst>
            <a:ext uri="{FF2B5EF4-FFF2-40B4-BE49-F238E27FC236}">
              <a16:creationId xmlns:a16="http://schemas.microsoft.com/office/drawing/2014/main" id="{AE15EF01-69D1-4D3E-BF54-2F28AE7F6BD6}"/>
            </a:ext>
          </a:extLst>
        </xdr:cNvPr>
        <xdr:cNvSpPr/>
      </xdr:nvSpPr>
      <xdr:spPr>
        <a:xfrm>
          <a:off x="7583631" y="493141"/>
          <a:ext cx="996261" cy="434340"/>
        </a:xfrm>
        <a:prstGeom prst="wedgeRoundRectCallou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a:p>
      </xdr:txBody>
    </xdr:sp>
    <xdr:clientData/>
  </xdr:twoCellAnchor>
  <mc:AlternateContent xmlns:mc="http://schemas.openxmlformats.org/markup-compatibility/2006">
    <mc:Choice xmlns:a14="http://schemas.microsoft.com/office/drawing/2010/main" Requires="a14">
      <xdr:twoCellAnchor editAs="oneCell">
        <xdr:from>
          <xdr:col>10</xdr:col>
          <xdr:colOff>472440</xdr:colOff>
          <xdr:row>1</xdr:row>
          <xdr:rowOff>259080</xdr:rowOff>
        </xdr:from>
        <xdr:to>
          <xdr:col>10</xdr:col>
          <xdr:colOff>1348740</xdr:colOff>
          <xdr:row>1</xdr:row>
          <xdr:rowOff>480060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hasim patel" refreshedDate="45983.020997106483" createdVersion="8" refreshedVersion="8" minRefreshableVersion="3" recordCount="141" xr:uid="{D4ED2DE2-E0F8-480A-93B9-0D3C48FA6216}">
  <cacheSource type="worksheet">
    <worksheetSource name="Table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465921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A0FC75-5B20-4EB0-AD32-BB2C4112307A}" name="PivotTable4"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K3:L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formats count="10">
    <format dxfId="51">
      <pivotArea type="all" dataOnly="0" outline="0" fieldPosition="0"/>
    </format>
    <format dxfId="50">
      <pivotArea field="1" type="button" dataOnly="0" labelOnly="1" outline="0" axis="axisRow" fieldPosition="0"/>
    </format>
    <format dxfId="49">
      <pivotArea dataOnly="0" labelOnly="1" outline="0" axis="axisValues" fieldPosition="0"/>
    </format>
    <format dxfId="48">
      <pivotArea field="1" type="button" dataOnly="0" labelOnly="1" outline="0" axis="axisRow" fieldPosition="0"/>
    </format>
    <format dxfId="47">
      <pivotArea dataOnly="0" labelOnly="1" outline="0" axis="axisValues" fieldPosition="0"/>
    </format>
    <format dxfId="46">
      <pivotArea type="all" dataOnly="0" outline="0" fieldPosition="0"/>
    </format>
    <format dxfId="45">
      <pivotArea outline="0" collapsedLevelsAreSubtotals="1" fieldPosition="0"/>
    </format>
    <format dxfId="44">
      <pivotArea field="1" type="button" dataOnly="0" labelOnly="1" outline="0" axis="axisRow" fieldPosition="0"/>
    </format>
    <format dxfId="43">
      <pivotArea dataOnly="0" labelOnly="1" fieldPosition="0">
        <references count="1">
          <reference field="1" count="5">
            <x v="26"/>
            <x v="70"/>
            <x v="72"/>
            <x v="74"/>
            <x v="77"/>
          </reference>
        </references>
      </pivotArea>
    </format>
    <format dxfId="42">
      <pivotArea dataOnly="0" labelOnly="1" outline="0" axis="axisValues" fieldPosition="0"/>
    </format>
  </formats>
  <chartFormats count="3">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2"/>
          </reference>
        </references>
      </pivotArea>
    </chartFormat>
    <chartFormat chart="2" format="2">
      <pivotArea type="data" outline="0" fieldPosition="0">
        <references count="2">
          <reference field="4294967294" count="1" selected="0">
            <x v="0"/>
          </reference>
          <reference field="1" count="1" selected="0">
            <x v="74"/>
          </reference>
        </references>
      </pivotArea>
    </chartFormat>
  </chartFormats>
  <pivotTableStyleInfo name="PivotStyleDark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81CD65-3CFE-4B68-B4E1-7A80D1548F3F}" name="PivotTable3"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2"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formats count="10">
    <format dxfId="61">
      <pivotArea type="all" dataOnly="0" outline="0" fieldPosition="0"/>
    </format>
    <format dxfId="60">
      <pivotArea field="1" type="button" dataOnly="0" labelOnly="1" outline="0" axis="axisRow" fieldPosition="0"/>
    </format>
    <format dxfId="59">
      <pivotArea dataOnly="0" labelOnly="1" outline="0" axis="axisValues" fieldPosition="0"/>
    </format>
    <format dxfId="58">
      <pivotArea field="1" type="button" dataOnly="0" labelOnly="1" outline="0" axis="axisRow" fieldPosition="0"/>
    </format>
    <format dxfId="57">
      <pivotArea dataOnly="0" labelOnly="1" outline="0" axis="axisValues" fieldPosition="0"/>
    </format>
    <format dxfId="56">
      <pivotArea type="all" dataOnly="0" outline="0" fieldPosition="0"/>
    </format>
    <format dxfId="55">
      <pivotArea outline="0" collapsedLevelsAreSubtotals="1" fieldPosition="0"/>
    </format>
    <format dxfId="54">
      <pivotArea field="1" type="button" dataOnly="0" labelOnly="1" outline="0" axis="axisRow" fieldPosition="0"/>
    </format>
    <format dxfId="53">
      <pivotArea dataOnly="0" labelOnly="1" fieldPosition="0">
        <references count="1">
          <reference field="1" count="5">
            <x v="3"/>
            <x v="15"/>
            <x v="31"/>
            <x v="59"/>
            <x v="79"/>
          </reference>
        </references>
      </pivotArea>
    </format>
    <format dxfId="52">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3"/>
          </reference>
        </references>
      </pivotArea>
    </chartFormat>
    <chartFormat chart="4" format="2">
      <pivotArea type="data" outline="0" fieldPosition="0">
        <references count="2">
          <reference field="4294967294" count="1" selected="0">
            <x v="0"/>
          </reference>
          <reference field="1" count="1" selected="0">
            <x v="15"/>
          </reference>
        </references>
      </pivotArea>
    </chartFormat>
    <chartFormat chart="4" format="3">
      <pivotArea type="data" outline="0" fieldPosition="0">
        <references count="2">
          <reference field="4294967294" count="1" selected="0">
            <x v="0"/>
          </reference>
          <reference field="1" count="1" selected="0">
            <x v="31"/>
          </reference>
        </references>
      </pivotArea>
    </chartFormat>
    <chartFormat chart="4" format="4">
      <pivotArea type="data" outline="0" fieldPosition="0">
        <references count="2">
          <reference field="4294967294" count="1" selected="0">
            <x v="0"/>
          </reference>
          <reference field="1" count="1" selected="0">
            <x v="59"/>
          </reference>
        </references>
      </pivotArea>
    </chartFormat>
    <chartFormat chart="4" format="5">
      <pivotArea type="data" outline="0" fieldPosition="0">
        <references count="2">
          <reference field="4294967294" count="1" selected="0">
            <x v="0"/>
          </reference>
          <reference field="1" count="1" selected="0">
            <x v="79"/>
          </reference>
        </references>
      </pivotArea>
    </chartFormat>
    <chartFormat chart="4" format="6">
      <pivotArea type="data" outline="0" fieldPosition="0">
        <references count="2">
          <reference field="4294967294" count="1" selected="0">
            <x v="0"/>
          </reference>
          <reference field="1" count="1" selected="0">
            <x v="10"/>
          </reference>
        </references>
      </pivotArea>
    </chartFormat>
    <chartFormat chart="4" format="7">
      <pivotArea type="data" outline="0" fieldPosition="0">
        <references count="2">
          <reference field="4294967294" count="1" selected="0">
            <x v="0"/>
          </reference>
          <reference field="1" count="1" selected="0">
            <x v="36"/>
          </reference>
        </references>
      </pivotArea>
    </chartFormat>
    <chartFormat chart="4" format="8">
      <pivotArea type="data" outline="0" fieldPosition="0">
        <references count="2">
          <reference field="4294967294" count="1" selected="0">
            <x v="0"/>
          </reference>
          <reference field="1" count="1" selected="0">
            <x v="76"/>
          </reference>
        </references>
      </pivotArea>
    </chartFormat>
    <chartFormat chart="4" format="9">
      <pivotArea type="data" outline="0" fieldPosition="0">
        <references count="2">
          <reference field="4294967294" count="1" selected="0">
            <x v="0"/>
          </reference>
          <reference field="1" count="1" selected="0">
            <x v="117"/>
          </reference>
        </references>
      </pivotArea>
    </chartFormat>
    <chartFormat chart="4" format="10">
      <pivotArea type="data" outline="0" fieldPosition="0">
        <references count="2">
          <reference field="4294967294" count="1" selected="0">
            <x v="0"/>
          </reference>
          <reference field="1" count="1" selected="0">
            <x v="1"/>
          </reference>
        </references>
      </pivotArea>
    </chartFormat>
    <chartFormat chart="4" format="11">
      <pivotArea type="data" outline="0" fieldPosition="0">
        <references count="2">
          <reference field="4294967294" count="1" selected="0">
            <x v="0"/>
          </reference>
          <reference field="1" count="1" selected="0">
            <x v="43"/>
          </reference>
        </references>
      </pivotArea>
    </chartFormat>
    <chartFormat chart="4" format="12">
      <pivotArea type="data" outline="0" fieldPosition="0">
        <references count="2">
          <reference field="4294967294" count="1" selected="0">
            <x v="0"/>
          </reference>
          <reference field="1" count="1" selected="0">
            <x v="116"/>
          </reference>
        </references>
      </pivotArea>
    </chartFormat>
    <chartFormat chart="4" format="13">
      <pivotArea type="data" outline="0" fieldPosition="0">
        <references count="2">
          <reference field="4294967294" count="1" selected="0">
            <x v="0"/>
          </reference>
          <reference field="1" count="1" selected="0">
            <x v="132"/>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67A2218-A66C-429C-AF4C-C5635ECA18F0}" name="PivotTable1"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43"/>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numFmtId="10" showAll="0"/>
  </pivotFields>
  <rowFields count="1">
    <field x="1"/>
  </rowFields>
  <rowItems count="5">
    <i>
      <x v="38"/>
    </i>
    <i>
      <x v="62"/>
    </i>
    <i>
      <x v="82"/>
    </i>
    <i>
      <x v="110"/>
    </i>
    <i>
      <x v="118"/>
    </i>
  </rowItems>
  <colItems count="1">
    <i/>
  </colItems>
  <dataFields count="1">
    <dataField name="Total Sales  " fld="8" baseField="1" baseItem="3"/>
  </dataFields>
  <formats count="11">
    <format dxfId="72">
      <pivotArea type="all" dataOnly="0" outline="0" fieldPosition="0"/>
    </format>
    <format dxfId="71">
      <pivotArea field="1" type="button" dataOnly="0" labelOnly="1" outline="0" axis="axisRow" fieldPosition="0"/>
    </format>
    <format dxfId="70">
      <pivotArea dataOnly="0" labelOnly="1" grandRow="1" outline="0" fieldPosition="0"/>
    </format>
    <format dxfId="69">
      <pivotArea dataOnly="0" labelOnly="1" outline="0" axis="axisValues" fieldPosition="0"/>
    </format>
    <format dxfId="68">
      <pivotArea field="1" type="button" dataOnly="0" labelOnly="1" outline="0" axis="axisRow" fieldPosition="0"/>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field="1" type="button" dataOnly="0" labelOnly="1" outline="0" axis="axisRow" fieldPosition="0"/>
    </format>
    <format dxfId="63">
      <pivotArea dataOnly="0" labelOnly="1" fieldPosition="0">
        <references count="1">
          <reference field="1" count="5">
            <x v="3"/>
            <x v="15"/>
            <x v="31"/>
            <x v="59"/>
            <x v="79"/>
          </reference>
        </references>
      </pivotArea>
    </format>
    <format dxfId="62">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1" count="1" selected="0">
            <x v="10"/>
          </reference>
        </references>
      </pivotArea>
    </chartFormat>
    <chartFormat chart="4" format="16">
      <pivotArea type="data" outline="0" fieldPosition="0">
        <references count="2">
          <reference field="4294967294" count="1" selected="0">
            <x v="0"/>
          </reference>
          <reference field="1" count="1" selected="0">
            <x v="15"/>
          </reference>
        </references>
      </pivotArea>
    </chartFormat>
    <chartFormat chart="4" format="17">
      <pivotArea type="data" outline="0" fieldPosition="0">
        <references count="2">
          <reference field="4294967294" count="1" selected="0">
            <x v="0"/>
          </reference>
          <reference field="1" count="1" selected="0">
            <x v="36"/>
          </reference>
        </references>
      </pivotArea>
    </chartFormat>
    <chartFormat chart="4" format="18">
      <pivotArea type="data" outline="0" fieldPosition="0">
        <references count="2">
          <reference field="4294967294" count="1" selected="0">
            <x v="0"/>
          </reference>
          <reference field="1" count="1" selected="0">
            <x v="76"/>
          </reference>
        </references>
      </pivotArea>
    </chartFormat>
    <chartFormat chart="4" format="19">
      <pivotArea type="data" outline="0" fieldPosition="0">
        <references count="2">
          <reference field="4294967294" count="1" selected="0">
            <x v="0"/>
          </reference>
          <reference field="1" count="1" selected="0">
            <x v="116"/>
          </reference>
        </references>
      </pivotArea>
    </chartFormat>
    <chartFormat chart="4" format="20">
      <pivotArea type="data" outline="0" fieldPosition="0">
        <references count="2">
          <reference field="4294967294" count="1" selected="0">
            <x v="0"/>
          </reference>
          <reference field="1" count="1" selected="0">
            <x v="38"/>
          </reference>
        </references>
      </pivotArea>
    </chartFormat>
    <chartFormat chart="4" format="21">
      <pivotArea type="data" outline="0" fieldPosition="0">
        <references count="2">
          <reference field="4294967294" count="1" selected="0">
            <x v="0"/>
          </reference>
          <reference field="1" count="1" selected="0">
            <x v="62"/>
          </reference>
        </references>
      </pivotArea>
    </chartFormat>
    <chartFormat chart="4" format="22">
      <pivotArea type="data" outline="0" fieldPosition="0">
        <references count="2">
          <reference field="4294967294" count="1" selected="0">
            <x v="0"/>
          </reference>
          <reference field="1" count="1" selected="0">
            <x v="82"/>
          </reference>
        </references>
      </pivotArea>
    </chartFormat>
    <chartFormat chart="4" format="23">
      <pivotArea type="data" outline="0" fieldPosition="0">
        <references count="2">
          <reference field="4294967294" count="1" selected="0">
            <x v="0"/>
          </reference>
          <reference field="1" count="1" selected="0">
            <x v="110"/>
          </reference>
        </references>
      </pivotArea>
    </chartFormat>
    <chartFormat chart="4" format="24">
      <pivotArea type="data" outline="0" fieldPosition="0">
        <references count="2">
          <reference field="4294967294" count="1" selected="0">
            <x v="0"/>
          </reference>
          <reference field="1" count="1" selected="0">
            <x v="118"/>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C3CC1D-3EE0-4969-9FBA-3EE71B2D2C46}" name="PivotTable2"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43"/>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numFmtId="10" showAll="0"/>
  </pivotFields>
  <rowFields count="1">
    <field x="1"/>
  </rowFields>
  <rowItems count="5">
    <i>
      <x v="46"/>
    </i>
    <i>
      <x v="54"/>
    </i>
    <i>
      <x v="70"/>
    </i>
    <i>
      <x v="102"/>
    </i>
    <i>
      <x v="134"/>
    </i>
  </rowItems>
  <colItems count="1">
    <i/>
  </colItems>
  <dataFields count="1">
    <dataField name="Total Sales  " fld="8" baseField="1" baseItem="3"/>
  </dataFields>
  <formats count="11">
    <format dxfId="83">
      <pivotArea type="all" dataOnly="0" outline="0" fieldPosition="0"/>
    </format>
    <format dxfId="82">
      <pivotArea field="1" type="button" dataOnly="0" labelOnly="1" outline="0" axis="axisRow" fieldPosition="0"/>
    </format>
    <format dxfId="81">
      <pivotArea dataOnly="0" labelOnly="1" grandRow="1" outline="0" fieldPosition="0"/>
    </format>
    <format dxfId="80">
      <pivotArea dataOnly="0" labelOnly="1" outline="0" axis="axisValues" fieldPosition="0"/>
    </format>
    <format dxfId="79">
      <pivotArea field="1" type="button" dataOnly="0" labelOnly="1" outline="0" axis="axisRow" fieldPosition="0"/>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5">
            <x v="3"/>
            <x v="15"/>
            <x v="31"/>
            <x v="59"/>
            <x v="79"/>
          </reference>
        </references>
      </pivotArea>
    </format>
    <format dxfId="7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88CA606-C16D-421E-883F-C6C346E4A550}" sourceName="Region">
  <pivotTables>
    <pivotTable tabId="5" name="PivotTable1"/>
    <pivotTable tabId="5" name="PivotTable2"/>
    <pivotTable tabId="5" name="PivotTable3"/>
    <pivotTable tabId="5" name="PivotTable4"/>
  </pivotTables>
  <data>
    <tabular pivotCacheId="746592174">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B652589-CC65-4640-91CC-FD568EA2E657}" cache="Slicer_Region1" columnCount="8" showCaption="0"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9D24EE-5DA4-4562-A596-4787767A147F}" name="Table1" displayName="Table1" ref="A1:L142" totalsRowShown="0" headerRowDxfId="98" dataDxfId="97" tableBorderDxfId="96">
  <autoFilter ref="A1:L142" xr:uid="{269D24EE-5DA4-4562-A596-4787767A147F}"/>
  <tableColumns count="12">
    <tableColumn id="1" xr3:uid="{9DA2DE36-E1B4-46EF-B8D6-1260E9A527E6}" name="Emp Code" dataDxfId="95"/>
    <tableColumn id="2" xr3:uid="{7CEA5A56-95D2-47FD-B473-8B3FF959FADF}" name="Sales Executive" dataDxfId="94"/>
    <tableColumn id="3" xr3:uid="{F57FC33E-5FC7-413E-B225-8B07CB27A846}" name="Region" dataDxfId="93"/>
    <tableColumn id="4" xr3:uid="{E1CB4F89-5F73-4744-9619-3797BEB1271B}" name="Day1" dataDxfId="92"/>
    <tableColumn id="5" xr3:uid="{296BE537-D1FA-4235-A05A-4AECF575BF19}" name="Day2" dataDxfId="91"/>
    <tableColumn id="6" xr3:uid="{A20F88F9-9463-4EF7-A84C-830797BDC733}" name="Day3" dataDxfId="90"/>
    <tableColumn id="7" xr3:uid="{CACCD20D-13C2-433D-BB77-C92BE66816DC}" name="Day4" dataDxfId="89"/>
    <tableColumn id="8" xr3:uid="{6444B298-ED41-487F-8530-3B5B3138F48D}" name="Day5" dataDxfId="88"/>
    <tableColumn id="9" xr3:uid="{7B8D6A25-82D0-4FCE-8BF6-02205B7F24C5}" name="Total Sales" dataDxfId="87">
      <calculatedColumnFormula>SUM(D2:H2)</calculatedColumnFormula>
    </tableColumn>
    <tableColumn id="10" xr3:uid="{2AEA8CC6-AC30-4FB2-B75E-7A3E21775A51}" name="Target" dataDxfId="86"/>
    <tableColumn id="11" xr3:uid="{4F0A741C-C22C-4DA8-BEB8-21E3F9489057}" name="Target Hit %" dataDxfId="85" dataCellStyle="Percent">
      <calculatedColumnFormula>I2/J2</calculatedColumnFormula>
    </tableColumn>
    <tableColumn id="12" xr3:uid="{AD4E7844-A528-4B36-88A3-642D0B3474D4}" name="Away From Target %" dataDxfId="84">
      <calculatedColumnFormula>100%-K2</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2">
            <a:lumMod val="90000"/>
            <a:alpha val="0"/>
          </a:schemeClr>
        </a:solidFill>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12" sqref="M12"/>
    </sheetView>
  </sheetViews>
  <sheetFormatPr defaultRowHeight="14.4" x14ac:dyDescent="0.3"/>
  <cols>
    <col min="1" max="1" width="11.44140625" bestFit="1" customWidth="1"/>
    <col min="2" max="2" width="21" customWidth="1"/>
    <col min="3" max="3" width="10.88671875" bestFit="1" customWidth="1"/>
    <col min="4" max="7" width="6.109375" customWidth="1"/>
    <col min="8" max="8" width="9.33203125" bestFit="1" customWidth="1"/>
    <col min="9" max="9" width="10.77734375" customWidth="1"/>
    <col min="10" max="10" width="10.5546875" bestFit="1" customWidth="1"/>
    <col min="11" max="11" width="17.33203125" bestFit="1" customWidth="1"/>
    <col min="12" max="12" width="21.109375" customWidth="1"/>
    <col min="13" max="13" width="20" bestFit="1" customWidth="1"/>
    <col min="14" max="14" width="21" customWidth="1"/>
  </cols>
  <sheetData>
    <row r="1" spans="1:12" x14ac:dyDescent="0.3">
      <c r="A1" s="4" t="s">
        <v>0</v>
      </c>
      <c r="B1" s="3" t="s">
        <v>1</v>
      </c>
      <c r="C1" s="5" t="s">
        <v>2</v>
      </c>
      <c r="D1" s="5" t="s">
        <v>3</v>
      </c>
      <c r="E1" s="5" t="s">
        <v>4</v>
      </c>
      <c r="F1" s="5" t="s">
        <v>5</v>
      </c>
      <c r="G1" s="5" t="s">
        <v>6</v>
      </c>
      <c r="H1" s="5" t="s">
        <v>7</v>
      </c>
      <c r="I1" s="5" t="s">
        <v>8</v>
      </c>
      <c r="J1" s="5" t="s">
        <v>9</v>
      </c>
      <c r="K1" s="5" t="s">
        <v>10</v>
      </c>
      <c r="L1" s="6" t="s">
        <v>11</v>
      </c>
    </row>
    <row r="2" spans="1:12" x14ac:dyDescent="0.3">
      <c r="A2" s="7" t="s">
        <v>12</v>
      </c>
      <c r="B2" t="s">
        <v>13</v>
      </c>
      <c r="C2" s="8" t="s">
        <v>14</v>
      </c>
      <c r="D2" s="9">
        <v>49</v>
      </c>
      <c r="E2" s="9">
        <v>84</v>
      </c>
      <c r="F2" s="9">
        <v>98</v>
      </c>
      <c r="G2" s="9">
        <v>67</v>
      </c>
      <c r="H2" s="9">
        <v>41</v>
      </c>
      <c r="I2" s="10">
        <f>SUM(D2:H2)</f>
        <v>339</v>
      </c>
      <c r="J2" s="10">
        <v>500</v>
      </c>
      <c r="K2" s="11">
        <f>I2/J2</f>
        <v>0.67800000000000005</v>
      </c>
      <c r="L2" s="12">
        <f>100%-K2</f>
        <v>0.32199999999999995</v>
      </c>
    </row>
    <row r="3" spans="1:12" x14ac:dyDescent="0.3">
      <c r="A3" s="7" t="s">
        <v>15</v>
      </c>
      <c r="B3" t="s">
        <v>16</v>
      </c>
      <c r="C3" s="8" t="s">
        <v>17</v>
      </c>
      <c r="D3" s="9">
        <v>44</v>
      </c>
      <c r="E3" s="9">
        <v>85</v>
      </c>
      <c r="F3" s="9">
        <v>47</v>
      </c>
      <c r="G3" s="9">
        <v>15</v>
      </c>
      <c r="H3" s="9">
        <v>48</v>
      </c>
      <c r="I3" s="10">
        <f t="shared" ref="I3:I66" si="0">SUM(D3:H3)</f>
        <v>239</v>
      </c>
      <c r="J3" s="10">
        <v>500</v>
      </c>
      <c r="K3" s="11">
        <f t="shared" ref="K3:K66" si="1">I3/J3</f>
        <v>0.47799999999999998</v>
      </c>
      <c r="L3" s="12">
        <f t="shared" ref="L3:L66" si="2">100%-K3</f>
        <v>0.52200000000000002</v>
      </c>
    </row>
    <row r="4" spans="1:12" x14ac:dyDescent="0.3">
      <c r="A4" s="7" t="s">
        <v>18</v>
      </c>
      <c r="B4" t="s">
        <v>19</v>
      </c>
      <c r="C4" s="8" t="s">
        <v>20</v>
      </c>
      <c r="D4" s="9">
        <v>45</v>
      </c>
      <c r="E4" s="9">
        <v>79</v>
      </c>
      <c r="F4" s="9">
        <v>88</v>
      </c>
      <c r="G4" s="9">
        <v>73</v>
      </c>
      <c r="H4" s="9">
        <v>94</v>
      </c>
      <c r="I4" s="10">
        <f t="shared" si="0"/>
        <v>379</v>
      </c>
      <c r="J4" s="10">
        <v>500</v>
      </c>
      <c r="K4" s="11">
        <f t="shared" si="1"/>
        <v>0.75800000000000001</v>
      </c>
      <c r="L4" s="12">
        <f t="shared" si="2"/>
        <v>0.24199999999999999</v>
      </c>
    </row>
    <row r="5" spans="1:12" x14ac:dyDescent="0.3">
      <c r="A5" s="7" t="s">
        <v>21</v>
      </c>
      <c r="B5" t="s">
        <v>22</v>
      </c>
      <c r="C5" s="8" t="s">
        <v>23</v>
      </c>
      <c r="D5" s="9">
        <v>52</v>
      </c>
      <c r="E5" s="9">
        <v>99</v>
      </c>
      <c r="F5" s="9">
        <v>13</v>
      </c>
      <c r="G5" s="9">
        <v>95</v>
      </c>
      <c r="H5" s="9">
        <v>29</v>
      </c>
      <c r="I5" s="10">
        <f t="shared" si="0"/>
        <v>288</v>
      </c>
      <c r="J5" s="10">
        <v>500</v>
      </c>
      <c r="K5" s="11">
        <f t="shared" si="1"/>
        <v>0.57599999999999996</v>
      </c>
      <c r="L5" s="12">
        <f t="shared" si="2"/>
        <v>0.42400000000000004</v>
      </c>
    </row>
    <row r="6" spans="1:12" x14ac:dyDescent="0.3">
      <c r="A6" s="7" t="s">
        <v>24</v>
      </c>
      <c r="B6" t="s">
        <v>25</v>
      </c>
      <c r="C6" s="8" t="s">
        <v>26</v>
      </c>
      <c r="D6" s="9">
        <v>35</v>
      </c>
      <c r="E6" s="9">
        <v>54</v>
      </c>
      <c r="F6" s="9">
        <v>49</v>
      </c>
      <c r="G6" s="9">
        <v>26</v>
      </c>
      <c r="H6" s="9">
        <v>49</v>
      </c>
      <c r="I6" s="10">
        <f t="shared" si="0"/>
        <v>213</v>
      </c>
      <c r="J6" s="10">
        <v>500</v>
      </c>
      <c r="K6" s="11">
        <f t="shared" si="1"/>
        <v>0.42599999999999999</v>
      </c>
      <c r="L6" s="12">
        <f t="shared" si="2"/>
        <v>0.57400000000000007</v>
      </c>
    </row>
    <row r="7" spans="1:12" x14ac:dyDescent="0.3">
      <c r="A7" s="7" t="s">
        <v>27</v>
      </c>
      <c r="B7" t="s">
        <v>28</v>
      </c>
      <c r="C7" s="8" t="s">
        <v>29</v>
      </c>
      <c r="D7" s="9">
        <v>86</v>
      </c>
      <c r="E7" s="9">
        <v>31</v>
      </c>
      <c r="F7" s="9">
        <v>23</v>
      </c>
      <c r="G7" s="9">
        <v>48</v>
      </c>
      <c r="H7" s="9">
        <v>77</v>
      </c>
      <c r="I7" s="10">
        <f t="shared" si="0"/>
        <v>265</v>
      </c>
      <c r="J7" s="10">
        <v>500</v>
      </c>
      <c r="K7" s="11">
        <f t="shared" si="1"/>
        <v>0.53</v>
      </c>
      <c r="L7" s="12">
        <f t="shared" si="2"/>
        <v>0.47</v>
      </c>
    </row>
    <row r="8" spans="1:12" x14ac:dyDescent="0.3">
      <c r="A8" s="7" t="s">
        <v>30</v>
      </c>
      <c r="B8" t="s">
        <v>31</v>
      </c>
      <c r="C8" s="8" t="s">
        <v>32</v>
      </c>
      <c r="D8" s="9">
        <v>84</v>
      </c>
      <c r="E8" s="9">
        <v>28</v>
      </c>
      <c r="F8" s="9">
        <v>98</v>
      </c>
      <c r="G8" s="9">
        <v>80</v>
      </c>
      <c r="H8" s="9">
        <v>79</v>
      </c>
      <c r="I8" s="10">
        <f t="shared" si="0"/>
        <v>369</v>
      </c>
      <c r="J8" s="10">
        <v>500</v>
      </c>
      <c r="K8" s="11">
        <f t="shared" si="1"/>
        <v>0.73799999999999999</v>
      </c>
      <c r="L8" s="12">
        <f t="shared" si="2"/>
        <v>0.26200000000000001</v>
      </c>
    </row>
    <row r="9" spans="1:12" x14ac:dyDescent="0.3">
      <c r="A9" s="7" t="s">
        <v>33</v>
      </c>
      <c r="B9" t="s">
        <v>34</v>
      </c>
      <c r="C9" s="8" t="s">
        <v>35</v>
      </c>
      <c r="D9" s="9">
        <v>73</v>
      </c>
      <c r="E9" s="9">
        <v>97</v>
      </c>
      <c r="F9" s="9">
        <v>38</v>
      </c>
      <c r="G9" s="9">
        <v>24</v>
      </c>
      <c r="H9" s="9">
        <v>53</v>
      </c>
      <c r="I9" s="10">
        <f t="shared" si="0"/>
        <v>285</v>
      </c>
      <c r="J9" s="10">
        <v>500</v>
      </c>
      <c r="K9" s="11">
        <f t="shared" si="1"/>
        <v>0.56999999999999995</v>
      </c>
      <c r="L9" s="12">
        <f t="shared" si="2"/>
        <v>0.43000000000000005</v>
      </c>
    </row>
    <row r="10" spans="1:12" x14ac:dyDescent="0.3">
      <c r="A10" s="7" t="s">
        <v>36</v>
      </c>
      <c r="B10" t="s">
        <v>37</v>
      </c>
      <c r="C10" s="8" t="s">
        <v>14</v>
      </c>
      <c r="D10" s="9">
        <v>54</v>
      </c>
      <c r="E10" s="9">
        <v>26</v>
      </c>
      <c r="F10" s="9">
        <v>53</v>
      </c>
      <c r="G10" s="9">
        <v>36</v>
      </c>
      <c r="H10" s="9">
        <v>20</v>
      </c>
      <c r="I10" s="10">
        <f t="shared" si="0"/>
        <v>189</v>
      </c>
      <c r="J10" s="10">
        <v>500</v>
      </c>
      <c r="K10" s="11">
        <f t="shared" si="1"/>
        <v>0.378</v>
      </c>
      <c r="L10" s="12">
        <f t="shared" si="2"/>
        <v>0.622</v>
      </c>
    </row>
    <row r="11" spans="1:12" x14ac:dyDescent="0.3">
      <c r="A11" s="7" t="s">
        <v>38</v>
      </c>
      <c r="B11" t="s">
        <v>39</v>
      </c>
      <c r="C11" s="8" t="s">
        <v>17</v>
      </c>
      <c r="D11" s="9">
        <v>52</v>
      </c>
      <c r="E11" s="9">
        <v>52</v>
      </c>
      <c r="F11" s="9">
        <v>19</v>
      </c>
      <c r="G11" s="9">
        <v>53</v>
      </c>
      <c r="H11" s="9">
        <v>37</v>
      </c>
      <c r="I11" s="10">
        <f t="shared" si="0"/>
        <v>213</v>
      </c>
      <c r="J11" s="10">
        <v>500</v>
      </c>
      <c r="K11" s="11">
        <f t="shared" si="1"/>
        <v>0.42599999999999999</v>
      </c>
      <c r="L11" s="12">
        <f t="shared" si="2"/>
        <v>0.57400000000000007</v>
      </c>
    </row>
    <row r="12" spans="1:12" x14ac:dyDescent="0.3">
      <c r="A12" s="7" t="s">
        <v>40</v>
      </c>
      <c r="B12" t="s">
        <v>41</v>
      </c>
      <c r="C12" s="8" t="s">
        <v>20</v>
      </c>
      <c r="D12" s="9">
        <v>63</v>
      </c>
      <c r="E12" s="9">
        <v>17</v>
      </c>
      <c r="F12" s="9">
        <v>40</v>
      </c>
      <c r="G12" s="9">
        <v>48</v>
      </c>
      <c r="H12" s="9">
        <v>51</v>
      </c>
      <c r="I12" s="10">
        <f t="shared" si="0"/>
        <v>219</v>
      </c>
      <c r="J12" s="10">
        <v>500</v>
      </c>
      <c r="K12" s="11">
        <f t="shared" si="1"/>
        <v>0.438</v>
      </c>
      <c r="L12" s="12">
        <f t="shared" si="2"/>
        <v>0.56200000000000006</v>
      </c>
    </row>
    <row r="13" spans="1:12" x14ac:dyDescent="0.3">
      <c r="A13" s="7" t="s">
        <v>42</v>
      </c>
      <c r="B13" t="s">
        <v>43</v>
      </c>
      <c r="C13" s="8" t="s">
        <v>23</v>
      </c>
      <c r="D13" s="9">
        <v>79</v>
      </c>
      <c r="E13" s="9">
        <v>99</v>
      </c>
      <c r="F13" s="9">
        <v>95</v>
      </c>
      <c r="G13" s="9">
        <v>12</v>
      </c>
      <c r="H13" s="9">
        <v>91</v>
      </c>
      <c r="I13" s="10">
        <f t="shared" si="0"/>
        <v>376</v>
      </c>
      <c r="J13" s="10">
        <v>500</v>
      </c>
      <c r="K13" s="11">
        <f t="shared" si="1"/>
        <v>0.752</v>
      </c>
      <c r="L13" s="12">
        <f t="shared" si="2"/>
        <v>0.248</v>
      </c>
    </row>
    <row r="14" spans="1:12" x14ac:dyDescent="0.3">
      <c r="A14" s="7" t="s">
        <v>44</v>
      </c>
      <c r="B14" t="s">
        <v>45</v>
      </c>
      <c r="C14" s="8" t="s">
        <v>26</v>
      </c>
      <c r="D14" s="13">
        <v>95</v>
      </c>
      <c r="E14" s="9">
        <v>88</v>
      </c>
      <c r="F14" s="9">
        <v>11</v>
      </c>
      <c r="G14" s="9">
        <v>78</v>
      </c>
      <c r="H14" s="9">
        <v>60</v>
      </c>
      <c r="I14" s="10">
        <f t="shared" si="0"/>
        <v>332</v>
      </c>
      <c r="J14" s="10">
        <v>500</v>
      </c>
      <c r="K14" s="11">
        <f t="shared" si="1"/>
        <v>0.66400000000000003</v>
      </c>
      <c r="L14" s="12">
        <f t="shared" si="2"/>
        <v>0.33599999999999997</v>
      </c>
    </row>
    <row r="15" spans="1:12" x14ac:dyDescent="0.3">
      <c r="A15" s="7" t="s">
        <v>46</v>
      </c>
      <c r="B15" t="s">
        <v>47</v>
      </c>
      <c r="C15" s="8" t="s">
        <v>29</v>
      </c>
      <c r="D15" s="9">
        <v>83</v>
      </c>
      <c r="E15" s="9">
        <v>77</v>
      </c>
      <c r="F15" s="9">
        <v>66</v>
      </c>
      <c r="G15" s="9">
        <v>22</v>
      </c>
      <c r="H15" s="9">
        <v>40</v>
      </c>
      <c r="I15" s="10">
        <f t="shared" si="0"/>
        <v>288</v>
      </c>
      <c r="J15" s="10">
        <v>500</v>
      </c>
      <c r="K15" s="11">
        <f t="shared" si="1"/>
        <v>0.57599999999999996</v>
      </c>
      <c r="L15" s="12">
        <f t="shared" si="2"/>
        <v>0.42400000000000004</v>
      </c>
    </row>
    <row r="16" spans="1:12" x14ac:dyDescent="0.3">
      <c r="A16" s="7" t="s">
        <v>48</v>
      </c>
      <c r="B16" t="s">
        <v>49</v>
      </c>
      <c r="C16" s="8" t="s">
        <v>32</v>
      </c>
      <c r="D16" s="9">
        <v>78</v>
      </c>
      <c r="E16" s="9">
        <v>58</v>
      </c>
      <c r="F16" s="9">
        <v>34</v>
      </c>
      <c r="G16" s="9">
        <v>84</v>
      </c>
      <c r="H16" s="9">
        <v>31</v>
      </c>
      <c r="I16" s="10">
        <f t="shared" si="0"/>
        <v>285</v>
      </c>
      <c r="J16" s="10">
        <v>500</v>
      </c>
      <c r="K16" s="11">
        <f t="shared" si="1"/>
        <v>0.56999999999999995</v>
      </c>
      <c r="L16" s="12">
        <f t="shared" si="2"/>
        <v>0.43000000000000005</v>
      </c>
    </row>
    <row r="17" spans="1:12" x14ac:dyDescent="0.3">
      <c r="A17" s="7" t="s">
        <v>50</v>
      </c>
      <c r="B17" t="s">
        <v>51</v>
      </c>
      <c r="C17" s="8" t="s">
        <v>35</v>
      </c>
      <c r="D17" s="9">
        <v>14</v>
      </c>
      <c r="E17" s="9">
        <v>25</v>
      </c>
      <c r="F17" s="9">
        <v>45</v>
      </c>
      <c r="G17" s="9">
        <v>70</v>
      </c>
      <c r="H17" s="9">
        <v>45</v>
      </c>
      <c r="I17" s="10">
        <f t="shared" si="0"/>
        <v>199</v>
      </c>
      <c r="J17" s="10">
        <v>500</v>
      </c>
      <c r="K17" s="11">
        <f t="shared" si="1"/>
        <v>0.39800000000000002</v>
      </c>
      <c r="L17" s="12">
        <f t="shared" si="2"/>
        <v>0.60199999999999998</v>
      </c>
    </row>
    <row r="18" spans="1:12" x14ac:dyDescent="0.3">
      <c r="A18" s="7" t="s">
        <v>52</v>
      </c>
      <c r="B18" t="s">
        <v>53</v>
      </c>
      <c r="C18" s="8" t="s">
        <v>14</v>
      </c>
      <c r="D18" s="9">
        <v>37</v>
      </c>
      <c r="E18" s="9">
        <v>69</v>
      </c>
      <c r="F18" s="9">
        <v>96</v>
      </c>
      <c r="G18" s="9">
        <v>66</v>
      </c>
      <c r="H18" s="9">
        <v>38</v>
      </c>
      <c r="I18" s="10">
        <f t="shared" si="0"/>
        <v>306</v>
      </c>
      <c r="J18" s="10">
        <v>500</v>
      </c>
      <c r="K18" s="11">
        <f t="shared" si="1"/>
        <v>0.61199999999999999</v>
      </c>
      <c r="L18" s="12">
        <f t="shared" si="2"/>
        <v>0.38800000000000001</v>
      </c>
    </row>
    <row r="19" spans="1:12" x14ac:dyDescent="0.3">
      <c r="A19" s="7" t="s">
        <v>54</v>
      </c>
      <c r="B19" t="s">
        <v>55</v>
      </c>
      <c r="C19" s="8" t="s">
        <v>17</v>
      </c>
      <c r="D19" s="9">
        <v>11</v>
      </c>
      <c r="E19" s="9">
        <v>46</v>
      </c>
      <c r="F19" s="9">
        <v>91</v>
      </c>
      <c r="G19" s="9">
        <v>98</v>
      </c>
      <c r="H19" s="9">
        <v>45</v>
      </c>
      <c r="I19" s="10">
        <f t="shared" si="0"/>
        <v>291</v>
      </c>
      <c r="J19" s="10">
        <v>500</v>
      </c>
      <c r="K19" s="11">
        <f t="shared" si="1"/>
        <v>0.58199999999999996</v>
      </c>
      <c r="L19" s="12">
        <f t="shared" si="2"/>
        <v>0.41800000000000004</v>
      </c>
    </row>
    <row r="20" spans="1:12" x14ac:dyDescent="0.3">
      <c r="A20" s="7" t="s">
        <v>56</v>
      </c>
      <c r="B20" t="s">
        <v>57</v>
      </c>
      <c r="C20" s="8" t="s">
        <v>20</v>
      </c>
      <c r="D20" s="9">
        <v>19</v>
      </c>
      <c r="E20" s="9">
        <v>34</v>
      </c>
      <c r="F20" s="9">
        <v>64</v>
      </c>
      <c r="G20" s="9">
        <v>65</v>
      </c>
      <c r="H20" s="9">
        <v>70</v>
      </c>
      <c r="I20" s="10">
        <f t="shared" si="0"/>
        <v>252</v>
      </c>
      <c r="J20" s="10">
        <v>500</v>
      </c>
      <c r="K20" s="11">
        <f t="shared" si="1"/>
        <v>0.504</v>
      </c>
      <c r="L20" s="12">
        <f t="shared" si="2"/>
        <v>0.496</v>
      </c>
    </row>
    <row r="21" spans="1:12" x14ac:dyDescent="0.3">
      <c r="A21" s="7" t="s">
        <v>58</v>
      </c>
      <c r="B21" t="s">
        <v>59</v>
      </c>
      <c r="C21" s="8" t="s">
        <v>23</v>
      </c>
      <c r="D21" s="9">
        <v>93</v>
      </c>
      <c r="E21" s="9">
        <v>84</v>
      </c>
      <c r="F21" s="9">
        <v>13</v>
      </c>
      <c r="G21" s="9">
        <v>45</v>
      </c>
      <c r="H21" s="9">
        <v>18</v>
      </c>
      <c r="I21" s="10">
        <f t="shared" si="0"/>
        <v>253</v>
      </c>
      <c r="J21" s="10">
        <v>500</v>
      </c>
      <c r="K21" s="11">
        <f t="shared" si="1"/>
        <v>0.50600000000000001</v>
      </c>
      <c r="L21" s="12">
        <f t="shared" si="2"/>
        <v>0.49399999999999999</v>
      </c>
    </row>
    <row r="22" spans="1:12" x14ac:dyDescent="0.3">
      <c r="A22" s="7" t="s">
        <v>60</v>
      </c>
      <c r="B22" t="s">
        <v>61</v>
      </c>
      <c r="C22" s="8" t="s">
        <v>26</v>
      </c>
      <c r="D22" s="9">
        <v>68</v>
      </c>
      <c r="E22" s="9">
        <v>73</v>
      </c>
      <c r="F22" s="9">
        <v>97</v>
      </c>
      <c r="G22" s="9">
        <v>76</v>
      </c>
      <c r="H22" s="9">
        <v>53</v>
      </c>
      <c r="I22" s="10">
        <f t="shared" si="0"/>
        <v>367</v>
      </c>
      <c r="J22" s="10">
        <v>500</v>
      </c>
      <c r="K22" s="11">
        <f t="shared" si="1"/>
        <v>0.73399999999999999</v>
      </c>
      <c r="L22" s="12">
        <f t="shared" si="2"/>
        <v>0.26600000000000001</v>
      </c>
    </row>
    <row r="23" spans="1:12" x14ac:dyDescent="0.3">
      <c r="A23" s="7" t="s">
        <v>62</v>
      </c>
      <c r="B23" t="s">
        <v>63</v>
      </c>
      <c r="C23" s="8" t="s">
        <v>29</v>
      </c>
      <c r="D23" s="9">
        <v>99</v>
      </c>
      <c r="E23" s="9">
        <v>17</v>
      </c>
      <c r="F23" s="9">
        <v>48</v>
      </c>
      <c r="G23" s="9">
        <v>44</v>
      </c>
      <c r="H23" s="9">
        <v>93</v>
      </c>
      <c r="I23" s="10">
        <f t="shared" si="0"/>
        <v>301</v>
      </c>
      <c r="J23" s="10">
        <v>500</v>
      </c>
      <c r="K23" s="11">
        <f t="shared" si="1"/>
        <v>0.60199999999999998</v>
      </c>
      <c r="L23" s="12">
        <f t="shared" si="2"/>
        <v>0.39800000000000002</v>
      </c>
    </row>
    <row r="24" spans="1:12" x14ac:dyDescent="0.3">
      <c r="A24" s="7" t="s">
        <v>64</v>
      </c>
      <c r="B24" t="s">
        <v>65</v>
      </c>
      <c r="C24" s="8" t="s">
        <v>32</v>
      </c>
      <c r="D24" s="9">
        <v>57</v>
      </c>
      <c r="E24" s="9">
        <v>28</v>
      </c>
      <c r="F24" s="9">
        <v>31</v>
      </c>
      <c r="G24" s="9">
        <v>34</v>
      </c>
      <c r="H24" s="9">
        <v>52</v>
      </c>
      <c r="I24" s="10">
        <f t="shared" si="0"/>
        <v>202</v>
      </c>
      <c r="J24" s="10">
        <v>500</v>
      </c>
      <c r="K24" s="11">
        <f t="shared" si="1"/>
        <v>0.40400000000000003</v>
      </c>
      <c r="L24" s="12">
        <f t="shared" si="2"/>
        <v>0.59599999999999997</v>
      </c>
    </row>
    <row r="25" spans="1:12" x14ac:dyDescent="0.3">
      <c r="A25" s="7" t="s">
        <v>66</v>
      </c>
      <c r="B25" t="s">
        <v>67</v>
      </c>
      <c r="C25" s="8" t="s">
        <v>35</v>
      </c>
      <c r="D25" s="9">
        <v>40</v>
      </c>
      <c r="E25" s="9">
        <v>22</v>
      </c>
      <c r="F25" s="9">
        <v>18</v>
      </c>
      <c r="G25" s="9">
        <v>11</v>
      </c>
      <c r="H25" s="9">
        <v>92</v>
      </c>
      <c r="I25" s="10">
        <f t="shared" si="0"/>
        <v>183</v>
      </c>
      <c r="J25" s="10">
        <v>500</v>
      </c>
      <c r="K25" s="11">
        <f t="shared" si="1"/>
        <v>0.36599999999999999</v>
      </c>
      <c r="L25" s="12">
        <f t="shared" si="2"/>
        <v>0.63400000000000001</v>
      </c>
    </row>
    <row r="26" spans="1:12" x14ac:dyDescent="0.3">
      <c r="A26" s="7" t="s">
        <v>68</v>
      </c>
      <c r="B26" t="s">
        <v>69</v>
      </c>
      <c r="C26" s="8" t="s">
        <v>14</v>
      </c>
      <c r="D26" s="9">
        <v>47</v>
      </c>
      <c r="E26" s="9">
        <v>99</v>
      </c>
      <c r="F26" s="9">
        <v>94</v>
      </c>
      <c r="G26" s="9">
        <v>75</v>
      </c>
      <c r="H26" s="9">
        <v>29</v>
      </c>
      <c r="I26" s="10">
        <f t="shared" si="0"/>
        <v>344</v>
      </c>
      <c r="J26" s="10">
        <v>500</v>
      </c>
      <c r="K26" s="11">
        <f t="shared" si="1"/>
        <v>0.68799999999999994</v>
      </c>
      <c r="L26" s="12">
        <f t="shared" si="2"/>
        <v>0.31200000000000006</v>
      </c>
    </row>
    <row r="27" spans="1:12" x14ac:dyDescent="0.3">
      <c r="A27" s="7" t="s">
        <v>70</v>
      </c>
      <c r="B27" t="s">
        <v>71</v>
      </c>
      <c r="C27" s="8" t="s">
        <v>17</v>
      </c>
      <c r="D27" s="9">
        <v>16</v>
      </c>
      <c r="E27" s="9">
        <v>71</v>
      </c>
      <c r="F27" s="9">
        <v>80</v>
      </c>
      <c r="G27" s="9">
        <v>76</v>
      </c>
      <c r="H27" s="9">
        <v>33</v>
      </c>
      <c r="I27" s="10">
        <f t="shared" si="0"/>
        <v>276</v>
      </c>
      <c r="J27" s="10">
        <v>500</v>
      </c>
      <c r="K27" s="11">
        <f t="shared" si="1"/>
        <v>0.55200000000000005</v>
      </c>
      <c r="L27" s="12">
        <f t="shared" si="2"/>
        <v>0.44799999999999995</v>
      </c>
    </row>
    <row r="28" spans="1:12" x14ac:dyDescent="0.3">
      <c r="A28" s="7" t="s">
        <v>72</v>
      </c>
      <c r="B28" t="s">
        <v>73</v>
      </c>
      <c r="C28" s="8" t="s">
        <v>20</v>
      </c>
      <c r="D28" s="9">
        <v>72</v>
      </c>
      <c r="E28" s="9">
        <v>87</v>
      </c>
      <c r="F28" s="9">
        <v>92</v>
      </c>
      <c r="G28" s="9">
        <v>72</v>
      </c>
      <c r="H28" s="9">
        <v>34</v>
      </c>
      <c r="I28" s="10">
        <f t="shared" si="0"/>
        <v>357</v>
      </c>
      <c r="J28" s="10">
        <v>500</v>
      </c>
      <c r="K28" s="11">
        <f t="shared" si="1"/>
        <v>0.71399999999999997</v>
      </c>
      <c r="L28" s="12">
        <f t="shared" si="2"/>
        <v>0.28600000000000003</v>
      </c>
    </row>
    <row r="29" spans="1:12" x14ac:dyDescent="0.3">
      <c r="A29" s="7" t="s">
        <v>74</v>
      </c>
      <c r="B29" t="s">
        <v>75</v>
      </c>
      <c r="C29" s="8" t="s">
        <v>23</v>
      </c>
      <c r="D29" s="9">
        <v>30</v>
      </c>
      <c r="E29" s="9">
        <v>38</v>
      </c>
      <c r="F29" s="9">
        <v>70</v>
      </c>
      <c r="G29" s="9">
        <v>89</v>
      </c>
      <c r="H29" s="9">
        <v>97</v>
      </c>
      <c r="I29" s="10">
        <f t="shared" si="0"/>
        <v>324</v>
      </c>
      <c r="J29" s="10">
        <v>500</v>
      </c>
      <c r="K29" s="11">
        <f t="shared" si="1"/>
        <v>0.64800000000000002</v>
      </c>
      <c r="L29" s="12">
        <f t="shared" si="2"/>
        <v>0.35199999999999998</v>
      </c>
    </row>
    <row r="30" spans="1:12" x14ac:dyDescent="0.3">
      <c r="A30" s="7" t="s">
        <v>76</v>
      </c>
      <c r="B30" t="s">
        <v>77</v>
      </c>
      <c r="C30" s="8" t="s">
        <v>26</v>
      </c>
      <c r="D30" s="9">
        <v>65</v>
      </c>
      <c r="E30" s="9">
        <v>90</v>
      </c>
      <c r="F30" s="9">
        <v>91</v>
      </c>
      <c r="G30" s="9">
        <v>85</v>
      </c>
      <c r="H30" s="9">
        <v>10</v>
      </c>
      <c r="I30" s="10">
        <f t="shared" si="0"/>
        <v>341</v>
      </c>
      <c r="J30" s="10">
        <v>500</v>
      </c>
      <c r="K30" s="11">
        <f t="shared" si="1"/>
        <v>0.68200000000000005</v>
      </c>
      <c r="L30" s="12">
        <f t="shared" si="2"/>
        <v>0.31799999999999995</v>
      </c>
    </row>
    <row r="31" spans="1:12" x14ac:dyDescent="0.3">
      <c r="A31" s="7" t="s">
        <v>78</v>
      </c>
      <c r="B31" t="s">
        <v>79</v>
      </c>
      <c r="C31" s="8" t="s">
        <v>29</v>
      </c>
      <c r="D31" s="9">
        <v>83</v>
      </c>
      <c r="E31" s="9">
        <v>46</v>
      </c>
      <c r="F31" s="9">
        <v>99</v>
      </c>
      <c r="G31" s="9">
        <v>36</v>
      </c>
      <c r="H31" s="9">
        <v>89</v>
      </c>
      <c r="I31" s="10">
        <f t="shared" si="0"/>
        <v>353</v>
      </c>
      <c r="J31" s="10">
        <v>500</v>
      </c>
      <c r="K31" s="11">
        <f t="shared" si="1"/>
        <v>0.70599999999999996</v>
      </c>
      <c r="L31" s="12">
        <f t="shared" si="2"/>
        <v>0.29400000000000004</v>
      </c>
    </row>
    <row r="32" spans="1:12" x14ac:dyDescent="0.3">
      <c r="A32" s="7" t="s">
        <v>80</v>
      </c>
      <c r="B32" t="s">
        <v>81</v>
      </c>
      <c r="C32" s="8" t="s">
        <v>32</v>
      </c>
      <c r="D32" s="9">
        <v>10</v>
      </c>
      <c r="E32" s="9">
        <v>66</v>
      </c>
      <c r="F32" s="9">
        <v>40</v>
      </c>
      <c r="G32" s="9">
        <v>22</v>
      </c>
      <c r="H32" s="9">
        <v>38</v>
      </c>
      <c r="I32" s="10">
        <f t="shared" si="0"/>
        <v>176</v>
      </c>
      <c r="J32" s="10">
        <v>500</v>
      </c>
      <c r="K32" s="11">
        <f t="shared" si="1"/>
        <v>0.35199999999999998</v>
      </c>
      <c r="L32" s="12">
        <f t="shared" si="2"/>
        <v>0.64800000000000002</v>
      </c>
    </row>
    <row r="33" spans="1:12" x14ac:dyDescent="0.3">
      <c r="A33" s="7" t="s">
        <v>82</v>
      </c>
      <c r="B33" t="s">
        <v>83</v>
      </c>
      <c r="C33" s="8" t="s">
        <v>35</v>
      </c>
      <c r="D33" s="9">
        <v>37</v>
      </c>
      <c r="E33" s="9">
        <v>30</v>
      </c>
      <c r="F33" s="9">
        <v>19</v>
      </c>
      <c r="G33" s="9">
        <v>77</v>
      </c>
      <c r="H33" s="9">
        <v>67</v>
      </c>
      <c r="I33" s="10">
        <f t="shared" si="0"/>
        <v>230</v>
      </c>
      <c r="J33" s="10">
        <v>500</v>
      </c>
      <c r="K33" s="11">
        <f t="shared" si="1"/>
        <v>0.46</v>
      </c>
      <c r="L33" s="12">
        <f t="shared" si="2"/>
        <v>0.54</v>
      </c>
    </row>
    <row r="34" spans="1:12" x14ac:dyDescent="0.3">
      <c r="A34" s="7" t="s">
        <v>84</v>
      </c>
      <c r="B34" t="s">
        <v>85</v>
      </c>
      <c r="C34" s="8" t="s">
        <v>14</v>
      </c>
      <c r="D34" s="9">
        <v>83</v>
      </c>
      <c r="E34" s="9">
        <v>46</v>
      </c>
      <c r="F34" s="9">
        <v>17</v>
      </c>
      <c r="G34" s="9">
        <v>94</v>
      </c>
      <c r="H34" s="9">
        <v>92</v>
      </c>
      <c r="I34" s="10">
        <f t="shared" si="0"/>
        <v>332</v>
      </c>
      <c r="J34" s="10">
        <v>500</v>
      </c>
      <c r="K34" s="11">
        <f t="shared" si="1"/>
        <v>0.66400000000000003</v>
      </c>
      <c r="L34" s="12">
        <f t="shared" si="2"/>
        <v>0.33599999999999997</v>
      </c>
    </row>
    <row r="35" spans="1:12" x14ac:dyDescent="0.3">
      <c r="A35" s="7" t="s">
        <v>86</v>
      </c>
      <c r="B35" t="s">
        <v>87</v>
      </c>
      <c r="C35" s="8" t="s">
        <v>17</v>
      </c>
      <c r="D35" s="9">
        <v>84</v>
      </c>
      <c r="E35" s="9">
        <v>59</v>
      </c>
      <c r="F35" s="9">
        <v>41</v>
      </c>
      <c r="G35" s="9">
        <v>17</v>
      </c>
      <c r="H35" s="9">
        <v>22</v>
      </c>
      <c r="I35" s="10">
        <f t="shared" si="0"/>
        <v>223</v>
      </c>
      <c r="J35" s="10">
        <v>500</v>
      </c>
      <c r="K35" s="11">
        <f t="shared" si="1"/>
        <v>0.44600000000000001</v>
      </c>
      <c r="L35" s="12">
        <f t="shared" si="2"/>
        <v>0.55400000000000005</v>
      </c>
    </row>
    <row r="36" spans="1:12" x14ac:dyDescent="0.3">
      <c r="A36" s="7" t="s">
        <v>88</v>
      </c>
      <c r="B36" t="s">
        <v>89</v>
      </c>
      <c r="C36" s="8" t="s">
        <v>20</v>
      </c>
      <c r="D36" s="9">
        <v>82</v>
      </c>
      <c r="E36" s="9">
        <v>54</v>
      </c>
      <c r="F36" s="9">
        <v>79</v>
      </c>
      <c r="G36" s="9">
        <v>61</v>
      </c>
      <c r="H36" s="9">
        <v>47</v>
      </c>
      <c r="I36" s="10">
        <f t="shared" si="0"/>
        <v>323</v>
      </c>
      <c r="J36" s="10">
        <v>500</v>
      </c>
      <c r="K36" s="11">
        <f t="shared" si="1"/>
        <v>0.64600000000000002</v>
      </c>
      <c r="L36" s="12">
        <f t="shared" si="2"/>
        <v>0.35399999999999998</v>
      </c>
    </row>
    <row r="37" spans="1:12" x14ac:dyDescent="0.3">
      <c r="A37" s="7" t="s">
        <v>90</v>
      </c>
      <c r="B37" t="s">
        <v>91</v>
      </c>
      <c r="C37" s="8" t="s">
        <v>23</v>
      </c>
      <c r="D37" s="9">
        <v>47</v>
      </c>
      <c r="E37" s="9">
        <v>23</v>
      </c>
      <c r="F37" s="9">
        <v>19</v>
      </c>
      <c r="G37" s="9">
        <v>64</v>
      </c>
      <c r="H37" s="9">
        <v>61</v>
      </c>
      <c r="I37" s="10">
        <f t="shared" si="0"/>
        <v>214</v>
      </c>
      <c r="J37" s="10">
        <v>500</v>
      </c>
      <c r="K37" s="11">
        <f t="shared" si="1"/>
        <v>0.42799999999999999</v>
      </c>
      <c r="L37" s="12">
        <f t="shared" si="2"/>
        <v>0.57200000000000006</v>
      </c>
    </row>
    <row r="38" spans="1:12" x14ac:dyDescent="0.3">
      <c r="A38" s="7" t="s">
        <v>92</v>
      </c>
      <c r="B38" t="s">
        <v>93</v>
      </c>
      <c r="C38" s="8" t="s">
        <v>26</v>
      </c>
      <c r="D38" s="9">
        <v>91</v>
      </c>
      <c r="E38" s="9">
        <v>13</v>
      </c>
      <c r="F38" s="9">
        <v>79</v>
      </c>
      <c r="G38" s="9">
        <v>85</v>
      </c>
      <c r="H38" s="9">
        <v>67</v>
      </c>
      <c r="I38" s="10">
        <f t="shared" si="0"/>
        <v>335</v>
      </c>
      <c r="J38" s="10">
        <v>500</v>
      </c>
      <c r="K38" s="11">
        <f t="shared" si="1"/>
        <v>0.67</v>
      </c>
      <c r="L38" s="12">
        <f t="shared" si="2"/>
        <v>0.32999999999999996</v>
      </c>
    </row>
    <row r="39" spans="1:12" x14ac:dyDescent="0.3">
      <c r="A39" s="7" t="s">
        <v>94</v>
      </c>
      <c r="B39" t="s">
        <v>95</v>
      </c>
      <c r="C39" s="8" t="s">
        <v>29</v>
      </c>
      <c r="D39" s="9">
        <v>66</v>
      </c>
      <c r="E39" s="9">
        <v>59</v>
      </c>
      <c r="F39" s="9">
        <v>25</v>
      </c>
      <c r="G39" s="9">
        <v>55</v>
      </c>
      <c r="H39" s="9">
        <v>59</v>
      </c>
      <c r="I39" s="10">
        <f t="shared" si="0"/>
        <v>264</v>
      </c>
      <c r="J39" s="10">
        <v>500</v>
      </c>
      <c r="K39" s="11">
        <f t="shared" si="1"/>
        <v>0.52800000000000002</v>
      </c>
      <c r="L39" s="12">
        <f t="shared" si="2"/>
        <v>0.47199999999999998</v>
      </c>
    </row>
    <row r="40" spans="1:12" x14ac:dyDescent="0.3">
      <c r="A40" s="7" t="s">
        <v>96</v>
      </c>
      <c r="B40" t="s">
        <v>97</v>
      </c>
      <c r="C40" s="8" t="s">
        <v>32</v>
      </c>
      <c r="D40" s="9">
        <v>70</v>
      </c>
      <c r="E40" s="9">
        <v>18</v>
      </c>
      <c r="F40" s="9">
        <v>88</v>
      </c>
      <c r="G40" s="9">
        <v>46</v>
      </c>
      <c r="H40" s="9">
        <v>52</v>
      </c>
      <c r="I40" s="10">
        <f t="shared" si="0"/>
        <v>274</v>
      </c>
      <c r="J40" s="10">
        <v>500</v>
      </c>
      <c r="K40" s="11">
        <f t="shared" si="1"/>
        <v>0.54800000000000004</v>
      </c>
      <c r="L40" s="12">
        <f t="shared" si="2"/>
        <v>0.45199999999999996</v>
      </c>
    </row>
    <row r="41" spans="1:12" x14ac:dyDescent="0.3">
      <c r="A41" s="7" t="s">
        <v>98</v>
      </c>
      <c r="B41" t="s">
        <v>99</v>
      </c>
      <c r="C41" s="8" t="s">
        <v>35</v>
      </c>
      <c r="D41" s="9">
        <v>37</v>
      </c>
      <c r="E41" s="9">
        <v>60</v>
      </c>
      <c r="F41" s="9">
        <v>44</v>
      </c>
      <c r="G41" s="9">
        <v>61</v>
      </c>
      <c r="H41" s="9">
        <v>30</v>
      </c>
      <c r="I41" s="10">
        <f t="shared" si="0"/>
        <v>232</v>
      </c>
      <c r="J41" s="10">
        <v>500</v>
      </c>
      <c r="K41" s="11">
        <f t="shared" si="1"/>
        <v>0.46400000000000002</v>
      </c>
      <c r="L41" s="12">
        <f t="shared" si="2"/>
        <v>0.53600000000000003</v>
      </c>
    </row>
    <row r="42" spans="1:12" x14ac:dyDescent="0.3">
      <c r="A42" s="7" t="s">
        <v>100</v>
      </c>
      <c r="B42" t="s">
        <v>101</v>
      </c>
      <c r="C42" s="8" t="s">
        <v>14</v>
      </c>
      <c r="D42" s="9">
        <v>16</v>
      </c>
      <c r="E42" s="9">
        <v>46</v>
      </c>
      <c r="F42" s="9">
        <v>33</v>
      </c>
      <c r="G42" s="9">
        <v>54</v>
      </c>
      <c r="H42" s="9">
        <v>58</v>
      </c>
      <c r="I42" s="10">
        <f t="shared" si="0"/>
        <v>207</v>
      </c>
      <c r="J42" s="10">
        <v>500</v>
      </c>
      <c r="K42" s="11">
        <f t="shared" si="1"/>
        <v>0.41399999999999998</v>
      </c>
      <c r="L42" s="12">
        <f t="shared" si="2"/>
        <v>0.58600000000000008</v>
      </c>
    </row>
    <row r="43" spans="1:12" x14ac:dyDescent="0.3">
      <c r="A43" s="7" t="s">
        <v>102</v>
      </c>
      <c r="B43" t="s">
        <v>103</v>
      </c>
      <c r="C43" s="8" t="s">
        <v>17</v>
      </c>
      <c r="D43" s="9">
        <v>47</v>
      </c>
      <c r="E43" s="9">
        <v>97</v>
      </c>
      <c r="F43" s="9">
        <v>74</v>
      </c>
      <c r="G43" s="9">
        <v>97</v>
      </c>
      <c r="H43" s="9">
        <v>56</v>
      </c>
      <c r="I43" s="10">
        <f t="shared" si="0"/>
        <v>371</v>
      </c>
      <c r="J43" s="10">
        <v>500</v>
      </c>
      <c r="K43" s="11">
        <f t="shared" si="1"/>
        <v>0.74199999999999999</v>
      </c>
      <c r="L43" s="12">
        <f t="shared" si="2"/>
        <v>0.25800000000000001</v>
      </c>
    </row>
    <row r="44" spans="1:12" x14ac:dyDescent="0.3">
      <c r="A44" s="7" t="s">
        <v>104</v>
      </c>
      <c r="B44" t="s">
        <v>105</v>
      </c>
      <c r="C44" s="8" t="s">
        <v>20</v>
      </c>
      <c r="D44" s="9">
        <v>86</v>
      </c>
      <c r="E44" s="9">
        <v>22</v>
      </c>
      <c r="F44" s="9">
        <v>10</v>
      </c>
      <c r="G44" s="9">
        <v>60</v>
      </c>
      <c r="H44" s="9">
        <v>28</v>
      </c>
      <c r="I44" s="10">
        <f t="shared" si="0"/>
        <v>206</v>
      </c>
      <c r="J44" s="10">
        <v>500</v>
      </c>
      <c r="K44" s="11">
        <f t="shared" si="1"/>
        <v>0.41199999999999998</v>
      </c>
      <c r="L44" s="12">
        <f t="shared" si="2"/>
        <v>0.58800000000000008</v>
      </c>
    </row>
    <row r="45" spans="1:12" x14ac:dyDescent="0.3">
      <c r="A45" s="7" t="s">
        <v>106</v>
      </c>
      <c r="B45" t="s">
        <v>304</v>
      </c>
      <c r="C45" s="8" t="s">
        <v>23</v>
      </c>
      <c r="D45" s="9">
        <v>74</v>
      </c>
      <c r="E45" s="9">
        <v>17</v>
      </c>
      <c r="F45" s="9">
        <v>45</v>
      </c>
      <c r="G45" s="9">
        <v>64</v>
      </c>
      <c r="H45" s="9">
        <v>13</v>
      </c>
      <c r="I45" s="10">
        <f t="shared" si="0"/>
        <v>213</v>
      </c>
      <c r="J45" s="10">
        <v>500</v>
      </c>
      <c r="K45" s="11">
        <f t="shared" si="1"/>
        <v>0.42599999999999999</v>
      </c>
      <c r="L45" s="12">
        <f t="shared" si="2"/>
        <v>0.57400000000000007</v>
      </c>
    </row>
    <row r="46" spans="1:12" x14ac:dyDescent="0.3">
      <c r="A46" s="7" t="s">
        <v>107</v>
      </c>
      <c r="B46" t="s">
        <v>108</v>
      </c>
      <c r="C46" s="8" t="s">
        <v>26</v>
      </c>
      <c r="D46" s="9">
        <v>80</v>
      </c>
      <c r="E46" s="9">
        <v>51</v>
      </c>
      <c r="F46" s="9">
        <v>15</v>
      </c>
      <c r="G46" s="9">
        <v>97</v>
      </c>
      <c r="H46" s="9">
        <v>42</v>
      </c>
      <c r="I46" s="10">
        <f t="shared" si="0"/>
        <v>285</v>
      </c>
      <c r="J46" s="10">
        <v>500</v>
      </c>
      <c r="K46" s="11">
        <f t="shared" si="1"/>
        <v>0.56999999999999995</v>
      </c>
      <c r="L46" s="12">
        <f t="shared" si="2"/>
        <v>0.43000000000000005</v>
      </c>
    </row>
    <row r="47" spans="1:12" x14ac:dyDescent="0.3">
      <c r="A47" s="7" t="s">
        <v>109</v>
      </c>
      <c r="B47" t="s">
        <v>110</v>
      </c>
      <c r="C47" s="8" t="s">
        <v>29</v>
      </c>
      <c r="D47" s="9">
        <v>49</v>
      </c>
      <c r="E47" s="9">
        <v>82</v>
      </c>
      <c r="F47" s="9">
        <v>95</v>
      </c>
      <c r="G47" s="9">
        <v>46</v>
      </c>
      <c r="H47" s="9">
        <v>78</v>
      </c>
      <c r="I47" s="10">
        <f t="shared" si="0"/>
        <v>350</v>
      </c>
      <c r="J47" s="10">
        <v>500</v>
      </c>
      <c r="K47" s="11">
        <f t="shared" si="1"/>
        <v>0.7</v>
      </c>
      <c r="L47" s="12">
        <f t="shared" si="2"/>
        <v>0.30000000000000004</v>
      </c>
    </row>
    <row r="48" spans="1:12" x14ac:dyDescent="0.3">
      <c r="A48" s="7" t="s">
        <v>111</v>
      </c>
      <c r="B48" t="s">
        <v>112</v>
      </c>
      <c r="C48" s="8" t="s">
        <v>32</v>
      </c>
      <c r="D48" s="9">
        <v>17</v>
      </c>
      <c r="E48" s="9">
        <v>88</v>
      </c>
      <c r="F48" s="9">
        <v>12</v>
      </c>
      <c r="G48" s="9">
        <v>54</v>
      </c>
      <c r="H48" s="9">
        <v>21</v>
      </c>
      <c r="I48" s="10">
        <f t="shared" si="0"/>
        <v>192</v>
      </c>
      <c r="J48" s="10">
        <v>500</v>
      </c>
      <c r="K48" s="11">
        <f t="shared" si="1"/>
        <v>0.38400000000000001</v>
      </c>
      <c r="L48" s="12">
        <f t="shared" si="2"/>
        <v>0.61599999999999999</v>
      </c>
    </row>
    <row r="49" spans="1:12" x14ac:dyDescent="0.3">
      <c r="A49" s="7" t="s">
        <v>113</v>
      </c>
      <c r="B49" t="s">
        <v>114</v>
      </c>
      <c r="C49" s="8" t="s">
        <v>35</v>
      </c>
      <c r="D49" s="9">
        <v>74</v>
      </c>
      <c r="E49" s="9">
        <v>16</v>
      </c>
      <c r="F49" s="9">
        <v>74</v>
      </c>
      <c r="G49" s="9">
        <v>36</v>
      </c>
      <c r="H49" s="9">
        <v>33</v>
      </c>
      <c r="I49" s="10">
        <f t="shared" si="0"/>
        <v>233</v>
      </c>
      <c r="J49" s="10">
        <v>500</v>
      </c>
      <c r="K49" s="11">
        <f t="shared" si="1"/>
        <v>0.46600000000000003</v>
      </c>
      <c r="L49" s="12">
        <f t="shared" si="2"/>
        <v>0.53400000000000003</v>
      </c>
    </row>
    <row r="50" spans="1:12" x14ac:dyDescent="0.3">
      <c r="A50" s="7" t="s">
        <v>115</v>
      </c>
      <c r="B50" t="s">
        <v>116</v>
      </c>
      <c r="C50" s="8" t="s">
        <v>14</v>
      </c>
      <c r="D50" s="9">
        <v>73</v>
      </c>
      <c r="E50" s="9">
        <v>72</v>
      </c>
      <c r="F50" s="9">
        <v>38</v>
      </c>
      <c r="G50" s="9">
        <v>19</v>
      </c>
      <c r="H50" s="9">
        <v>90</v>
      </c>
      <c r="I50" s="10">
        <f t="shared" si="0"/>
        <v>292</v>
      </c>
      <c r="J50" s="10">
        <v>500</v>
      </c>
      <c r="K50" s="11">
        <f t="shared" si="1"/>
        <v>0.58399999999999996</v>
      </c>
      <c r="L50" s="12">
        <f t="shared" si="2"/>
        <v>0.41600000000000004</v>
      </c>
    </row>
    <row r="51" spans="1:12" x14ac:dyDescent="0.3">
      <c r="A51" s="7" t="s">
        <v>117</v>
      </c>
      <c r="B51" t="s">
        <v>118</v>
      </c>
      <c r="C51" s="8" t="s">
        <v>17</v>
      </c>
      <c r="D51" s="9">
        <v>17</v>
      </c>
      <c r="E51" s="9">
        <v>84</v>
      </c>
      <c r="F51" s="9">
        <v>90</v>
      </c>
      <c r="G51" s="9">
        <v>77</v>
      </c>
      <c r="H51" s="9">
        <v>72</v>
      </c>
      <c r="I51" s="10">
        <f t="shared" si="0"/>
        <v>340</v>
      </c>
      <c r="J51" s="10">
        <v>500</v>
      </c>
      <c r="K51" s="11">
        <f t="shared" si="1"/>
        <v>0.68</v>
      </c>
      <c r="L51" s="12">
        <f t="shared" si="2"/>
        <v>0.31999999999999995</v>
      </c>
    </row>
    <row r="52" spans="1:12" x14ac:dyDescent="0.3">
      <c r="A52" s="7" t="s">
        <v>119</v>
      </c>
      <c r="B52" t="s">
        <v>120</v>
      </c>
      <c r="C52" s="8" t="s">
        <v>20</v>
      </c>
      <c r="D52" s="9">
        <v>52</v>
      </c>
      <c r="E52" s="9">
        <v>36</v>
      </c>
      <c r="F52" s="9">
        <v>84</v>
      </c>
      <c r="G52" s="9">
        <v>41</v>
      </c>
      <c r="H52" s="9">
        <v>57</v>
      </c>
      <c r="I52" s="10">
        <f t="shared" si="0"/>
        <v>270</v>
      </c>
      <c r="J52" s="10">
        <v>500</v>
      </c>
      <c r="K52" s="11">
        <f t="shared" si="1"/>
        <v>0.54</v>
      </c>
      <c r="L52" s="12">
        <f t="shared" si="2"/>
        <v>0.45999999999999996</v>
      </c>
    </row>
    <row r="53" spans="1:12" x14ac:dyDescent="0.3">
      <c r="A53" s="7" t="s">
        <v>121</v>
      </c>
      <c r="B53" t="s">
        <v>122</v>
      </c>
      <c r="C53" s="8" t="s">
        <v>23</v>
      </c>
      <c r="D53" s="9">
        <v>65</v>
      </c>
      <c r="E53" s="9">
        <v>67</v>
      </c>
      <c r="F53" s="9">
        <v>72</v>
      </c>
      <c r="G53" s="9">
        <v>22</v>
      </c>
      <c r="H53" s="9">
        <v>23</v>
      </c>
      <c r="I53" s="10">
        <f t="shared" si="0"/>
        <v>249</v>
      </c>
      <c r="J53" s="10">
        <v>500</v>
      </c>
      <c r="K53" s="11">
        <f t="shared" si="1"/>
        <v>0.498</v>
      </c>
      <c r="L53" s="12">
        <f t="shared" si="2"/>
        <v>0.502</v>
      </c>
    </row>
    <row r="54" spans="1:12" x14ac:dyDescent="0.3">
      <c r="A54" s="7" t="s">
        <v>123</v>
      </c>
      <c r="B54" t="s">
        <v>124</v>
      </c>
      <c r="C54" s="8" t="s">
        <v>26</v>
      </c>
      <c r="D54" s="9">
        <v>88</v>
      </c>
      <c r="E54" s="9">
        <v>39</v>
      </c>
      <c r="F54" s="9">
        <v>25</v>
      </c>
      <c r="G54" s="9">
        <v>99</v>
      </c>
      <c r="H54" s="9">
        <v>71</v>
      </c>
      <c r="I54" s="10">
        <f t="shared" si="0"/>
        <v>322</v>
      </c>
      <c r="J54" s="10">
        <v>500</v>
      </c>
      <c r="K54" s="11">
        <f t="shared" si="1"/>
        <v>0.64400000000000002</v>
      </c>
      <c r="L54" s="12">
        <f t="shared" si="2"/>
        <v>0.35599999999999998</v>
      </c>
    </row>
    <row r="55" spans="1:12" x14ac:dyDescent="0.3">
      <c r="A55" s="7" t="s">
        <v>125</v>
      </c>
      <c r="B55" t="s">
        <v>126</v>
      </c>
      <c r="C55" s="8" t="s">
        <v>29</v>
      </c>
      <c r="D55" s="9">
        <v>23</v>
      </c>
      <c r="E55" s="9">
        <v>14</v>
      </c>
      <c r="F55" s="9">
        <v>15</v>
      </c>
      <c r="G55" s="9">
        <v>58</v>
      </c>
      <c r="H55" s="9">
        <v>79</v>
      </c>
      <c r="I55" s="10">
        <f t="shared" si="0"/>
        <v>189</v>
      </c>
      <c r="J55" s="10">
        <v>500</v>
      </c>
      <c r="K55" s="11">
        <f t="shared" si="1"/>
        <v>0.378</v>
      </c>
      <c r="L55" s="12">
        <f t="shared" si="2"/>
        <v>0.622</v>
      </c>
    </row>
    <row r="56" spans="1:12" x14ac:dyDescent="0.3">
      <c r="A56" s="7" t="s">
        <v>127</v>
      </c>
      <c r="B56" t="s">
        <v>128</v>
      </c>
      <c r="C56" s="8" t="s">
        <v>32</v>
      </c>
      <c r="D56" s="9">
        <v>15</v>
      </c>
      <c r="E56" s="9">
        <v>67</v>
      </c>
      <c r="F56" s="9">
        <v>48</v>
      </c>
      <c r="G56" s="9">
        <v>95</v>
      </c>
      <c r="H56" s="9">
        <v>35</v>
      </c>
      <c r="I56" s="10">
        <f t="shared" si="0"/>
        <v>260</v>
      </c>
      <c r="J56" s="10">
        <v>500</v>
      </c>
      <c r="K56" s="11">
        <f t="shared" si="1"/>
        <v>0.52</v>
      </c>
      <c r="L56" s="12">
        <f t="shared" si="2"/>
        <v>0.48</v>
      </c>
    </row>
    <row r="57" spans="1:12" x14ac:dyDescent="0.3">
      <c r="A57" s="7" t="s">
        <v>129</v>
      </c>
      <c r="B57" t="s">
        <v>130</v>
      </c>
      <c r="C57" s="8" t="s">
        <v>35</v>
      </c>
      <c r="D57" s="9">
        <v>18</v>
      </c>
      <c r="E57" s="9">
        <v>35</v>
      </c>
      <c r="F57" s="9">
        <v>82</v>
      </c>
      <c r="G57" s="9">
        <v>31</v>
      </c>
      <c r="H57" s="9">
        <v>26</v>
      </c>
      <c r="I57" s="10">
        <f t="shared" si="0"/>
        <v>192</v>
      </c>
      <c r="J57" s="10">
        <v>500</v>
      </c>
      <c r="K57" s="11">
        <f t="shared" si="1"/>
        <v>0.38400000000000001</v>
      </c>
      <c r="L57" s="12">
        <f t="shared" si="2"/>
        <v>0.61599999999999999</v>
      </c>
    </row>
    <row r="58" spans="1:12" x14ac:dyDescent="0.3">
      <c r="A58" s="7" t="s">
        <v>131</v>
      </c>
      <c r="B58" t="s">
        <v>132</v>
      </c>
      <c r="C58" s="8" t="s">
        <v>14</v>
      </c>
      <c r="D58" s="9">
        <v>57</v>
      </c>
      <c r="E58" s="9">
        <v>60</v>
      </c>
      <c r="F58" s="9">
        <v>42</v>
      </c>
      <c r="G58" s="9">
        <v>81</v>
      </c>
      <c r="H58" s="9">
        <v>44</v>
      </c>
      <c r="I58" s="10">
        <f t="shared" si="0"/>
        <v>284</v>
      </c>
      <c r="J58" s="10">
        <v>500</v>
      </c>
      <c r="K58" s="11">
        <f t="shared" si="1"/>
        <v>0.56799999999999995</v>
      </c>
      <c r="L58" s="12">
        <f t="shared" si="2"/>
        <v>0.43200000000000005</v>
      </c>
    </row>
    <row r="59" spans="1:12" x14ac:dyDescent="0.3">
      <c r="A59" s="7" t="s">
        <v>133</v>
      </c>
      <c r="B59" t="s">
        <v>134</v>
      </c>
      <c r="C59" s="8" t="s">
        <v>17</v>
      </c>
      <c r="D59" s="9">
        <v>34</v>
      </c>
      <c r="E59" s="9">
        <v>97</v>
      </c>
      <c r="F59" s="9">
        <v>66</v>
      </c>
      <c r="G59" s="9">
        <v>45</v>
      </c>
      <c r="H59" s="9">
        <v>50</v>
      </c>
      <c r="I59" s="10">
        <f t="shared" si="0"/>
        <v>292</v>
      </c>
      <c r="J59" s="10">
        <v>500</v>
      </c>
      <c r="K59" s="11">
        <f t="shared" si="1"/>
        <v>0.58399999999999996</v>
      </c>
      <c r="L59" s="12">
        <f t="shared" si="2"/>
        <v>0.41600000000000004</v>
      </c>
    </row>
    <row r="60" spans="1:12" x14ac:dyDescent="0.3">
      <c r="A60" s="7" t="s">
        <v>135</v>
      </c>
      <c r="B60" t="s">
        <v>136</v>
      </c>
      <c r="C60" s="8" t="s">
        <v>20</v>
      </c>
      <c r="D60" s="9">
        <v>83</v>
      </c>
      <c r="E60" s="9">
        <v>12</v>
      </c>
      <c r="F60" s="9">
        <v>70</v>
      </c>
      <c r="G60" s="9">
        <v>83</v>
      </c>
      <c r="H60" s="9">
        <v>52</v>
      </c>
      <c r="I60" s="10">
        <f t="shared" si="0"/>
        <v>300</v>
      </c>
      <c r="J60" s="10">
        <v>500</v>
      </c>
      <c r="K60" s="11">
        <f t="shared" si="1"/>
        <v>0.6</v>
      </c>
      <c r="L60" s="12">
        <f t="shared" si="2"/>
        <v>0.4</v>
      </c>
    </row>
    <row r="61" spans="1:12" x14ac:dyDescent="0.3">
      <c r="A61" s="7" t="s">
        <v>137</v>
      </c>
      <c r="B61" t="s">
        <v>138</v>
      </c>
      <c r="C61" s="8" t="s">
        <v>23</v>
      </c>
      <c r="D61" s="9">
        <v>76</v>
      </c>
      <c r="E61" s="9">
        <v>55</v>
      </c>
      <c r="F61" s="9">
        <v>56</v>
      </c>
      <c r="G61" s="9">
        <v>16</v>
      </c>
      <c r="H61" s="9">
        <v>61</v>
      </c>
      <c r="I61" s="10">
        <f t="shared" si="0"/>
        <v>264</v>
      </c>
      <c r="J61" s="10">
        <v>500</v>
      </c>
      <c r="K61" s="11">
        <f t="shared" si="1"/>
        <v>0.52800000000000002</v>
      </c>
      <c r="L61" s="12">
        <f t="shared" si="2"/>
        <v>0.47199999999999998</v>
      </c>
    </row>
    <row r="62" spans="1:12" x14ac:dyDescent="0.3">
      <c r="A62" s="7" t="s">
        <v>139</v>
      </c>
      <c r="B62" t="s">
        <v>140</v>
      </c>
      <c r="C62" s="8" t="s">
        <v>26</v>
      </c>
      <c r="D62" s="9">
        <v>40</v>
      </c>
      <c r="E62" s="9">
        <v>70</v>
      </c>
      <c r="F62" s="9">
        <v>19</v>
      </c>
      <c r="G62" s="9">
        <v>36</v>
      </c>
      <c r="H62" s="9">
        <v>52</v>
      </c>
      <c r="I62" s="10">
        <f t="shared" si="0"/>
        <v>217</v>
      </c>
      <c r="J62" s="10">
        <v>500</v>
      </c>
      <c r="K62" s="11">
        <f t="shared" si="1"/>
        <v>0.434</v>
      </c>
      <c r="L62" s="12">
        <f t="shared" si="2"/>
        <v>0.56600000000000006</v>
      </c>
    </row>
    <row r="63" spans="1:12" x14ac:dyDescent="0.3">
      <c r="A63" s="7" t="s">
        <v>141</v>
      </c>
      <c r="B63" t="s">
        <v>142</v>
      </c>
      <c r="C63" s="8" t="s">
        <v>29</v>
      </c>
      <c r="D63" s="9">
        <v>44</v>
      </c>
      <c r="E63" s="9">
        <v>60</v>
      </c>
      <c r="F63" s="9">
        <v>71</v>
      </c>
      <c r="G63" s="9">
        <v>34</v>
      </c>
      <c r="H63" s="9">
        <v>37</v>
      </c>
      <c r="I63" s="10">
        <f t="shared" si="0"/>
        <v>246</v>
      </c>
      <c r="J63" s="10">
        <v>500</v>
      </c>
      <c r="K63" s="11">
        <f t="shared" si="1"/>
        <v>0.49199999999999999</v>
      </c>
      <c r="L63" s="12">
        <f t="shared" si="2"/>
        <v>0.50800000000000001</v>
      </c>
    </row>
    <row r="64" spans="1:12" x14ac:dyDescent="0.3">
      <c r="A64" s="7" t="s">
        <v>143</v>
      </c>
      <c r="B64" t="s">
        <v>144</v>
      </c>
      <c r="C64" s="8" t="s">
        <v>32</v>
      </c>
      <c r="D64" s="9">
        <v>43</v>
      </c>
      <c r="E64" s="9">
        <v>78</v>
      </c>
      <c r="F64" s="9">
        <v>15</v>
      </c>
      <c r="G64" s="9">
        <v>98</v>
      </c>
      <c r="H64" s="9">
        <v>33</v>
      </c>
      <c r="I64" s="10">
        <f t="shared" si="0"/>
        <v>267</v>
      </c>
      <c r="J64" s="10">
        <v>500</v>
      </c>
      <c r="K64" s="11">
        <f t="shared" si="1"/>
        <v>0.53400000000000003</v>
      </c>
      <c r="L64" s="12">
        <f t="shared" si="2"/>
        <v>0.46599999999999997</v>
      </c>
    </row>
    <row r="65" spans="1:12" x14ac:dyDescent="0.3">
      <c r="A65" s="7" t="s">
        <v>145</v>
      </c>
      <c r="B65" t="s">
        <v>146</v>
      </c>
      <c r="C65" s="8" t="s">
        <v>35</v>
      </c>
      <c r="D65" s="9">
        <v>75</v>
      </c>
      <c r="E65" s="9">
        <v>75</v>
      </c>
      <c r="F65" s="9">
        <v>89</v>
      </c>
      <c r="G65" s="9">
        <v>97</v>
      </c>
      <c r="H65" s="9">
        <v>49</v>
      </c>
      <c r="I65" s="10">
        <f t="shared" si="0"/>
        <v>385</v>
      </c>
      <c r="J65" s="10">
        <v>500</v>
      </c>
      <c r="K65" s="11">
        <f t="shared" si="1"/>
        <v>0.77</v>
      </c>
      <c r="L65" s="12">
        <f t="shared" si="2"/>
        <v>0.22999999999999998</v>
      </c>
    </row>
    <row r="66" spans="1:12" x14ac:dyDescent="0.3">
      <c r="A66" s="7" t="s">
        <v>147</v>
      </c>
      <c r="B66" t="s">
        <v>148</v>
      </c>
      <c r="C66" s="8" t="s">
        <v>14</v>
      </c>
      <c r="D66" s="9">
        <v>74</v>
      </c>
      <c r="E66" s="9">
        <v>51</v>
      </c>
      <c r="F66" s="9">
        <v>97</v>
      </c>
      <c r="G66" s="9">
        <v>73</v>
      </c>
      <c r="H66" s="9">
        <v>33</v>
      </c>
      <c r="I66" s="10">
        <f t="shared" si="0"/>
        <v>328</v>
      </c>
      <c r="J66" s="10">
        <v>500</v>
      </c>
      <c r="K66" s="11">
        <f t="shared" si="1"/>
        <v>0.65600000000000003</v>
      </c>
      <c r="L66" s="12">
        <f t="shared" si="2"/>
        <v>0.34399999999999997</v>
      </c>
    </row>
    <row r="67" spans="1:12" x14ac:dyDescent="0.3">
      <c r="A67" s="7" t="s">
        <v>149</v>
      </c>
      <c r="B67" t="s">
        <v>150</v>
      </c>
      <c r="C67" s="8" t="s">
        <v>17</v>
      </c>
      <c r="D67" s="9">
        <v>44</v>
      </c>
      <c r="E67" s="9">
        <v>36</v>
      </c>
      <c r="F67" s="9">
        <v>11</v>
      </c>
      <c r="G67" s="9">
        <v>45</v>
      </c>
      <c r="H67" s="9">
        <v>30</v>
      </c>
      <c r="I67" s="10">
        <f t="shared" ref="I67:I130" si="3">SUM(D67:H67)</f>
        <v>166</v>
      </c>
      <c r="J67" s="10">
        <v>500</v>
      </c>
      <c r="K67" s="11">
        <f t="shared" ref="K67:K130" si="4">I67/J67</f>
        <v>0.33200000000000002</v>
      </c>
      <c r="L67" s="12">
        <f t="shared" ref="L67:L130" si="5">100%-K67</f>
        <v>0.66799999999999993</v>
      </c>
    </row>
    <row r="68" spans="1:12" x14ac:dyDescent="0.3">
      <c r="A68" s="7" t="s">
        <v>151</v>
      </c>
      <c r="B68" t="s">
        <v>152</v>
      </c>
      <c r="C68" s="8" t="s">
        <v>20</v>
      </c>
      <c r="D68" s="9">
        <v>87</v>
      </c>
      <c r="E68" s="9">
        <v>79</v>
      </c>
      <c r="F68" s="9">
        <v>46</v>
      </c>
      <c r="G68" s="9">
        <v>65</v>
      </c>
      <c r="H68" s="9">
        <v>65</v>
      </c>
      <c r="I68" s="10">
        <f t="shared" si="3"/>
        <v>342</v>
      </c>
      <c r="J68" s="10">
        <v>500</v>
      </c>
      <c r="K68" s="11">
        <f t="shared" si="4"/>
        <v>0.68400000000000005</v>
      </c>
      <c r="L68" s="12">
        <f t="shared" si="5"/>
        <v>0.31599999999999995</v>
      </c>
    </row>
    <row r="69" spans="1:12" x14ac:dyDescent="0.3">
      <c r="A69" s="7" t="s">
        <v>153</v>
      </c>
      <c r="B69" t="s">
        <v>154</v>
      </c>
      <c r="C69" s="8" t="s">
        <v>23</v>
      </c>
      <c r="D69" s="9">
        <v>70</v>
      </c>
      <c r="E69" s="9">
        <v>52</v>
      </c>
      <c r="F69" s="9">
        <v>80</v>
      </c>
      <c r="G69" s="9">
        <v>43</v>
      </c>
      <c r="H69" s="9">
        <v>48</v>
      </c>
      <c r="I69" s="10">
        <f t="shared" si="3"/>
        <v>293</v>
      </c>
      <c r="J69" s="10">
        <v>500</v>
      </c>
      <c r="K69" s="11">
        <f t="shared" si="4"/>
        <v>0.58599999999999997</v>
      </c>
      <c r="L69" s="12">
        <f t="shared" si="5"/>
        <v>0.41400000000000003</v>
      </c>
    </row>
    <row r="70" spans="1:12" x14ac:dyDescent="0.3">
      <c r="A70" s="7" t="s">
        <v>155</v>
      </c>
      <c r="B70" t="s">
        <v>156</v>
      </c>
      <c r="C70" s="8" t="s">
        <v>26</v>
      </c>
      <c r="D70" s="9">
        <v>45</v>
      </c>
      <c r="E70" s="9">
        <v>26</v>
      </c>
      <c r="F70" s="9">
        <v>27</v>
      </c>
      <c r="G70" s="9">
        <v>14</v>
      </c>
      <c r="H70" s="9">
        <v>59</v>
      </c>
      <c r="I70" s="10">
        <f t="shared" si="3"/>
        <v>171</v>
      </c>
      <c r="J70" s="10">
        <v>500</v>
      </c>
      <c r="K70" s="11">
        <f t="shared" si="4"/>
        <v>0.34200000000000003</v>
      </c>
      <c r="L70" s="12">
        <f t="shared" si="5"/>
        <v>0.65799999999999992</v>
      </c>
    </row>
    <row r="71" spans="1:12" x14ac:dyDescent="0.3">
      <c r="A71" s="7" t="s">
        <v>157</v>
      </c>
      <c r="B71" t="s">
        <v>158</v>
      </c>
      <c r="C71" s="8" t="s">
        <v>29</v>
      </c>
      <c r="D71" s="9">
        <v>51</v>
      </c>
      <c r="E71" s="9">
        <v>26</v>
      </c>
      <c r="F71" s="9">
        <v>58</v>
      </c>
      <c r="G71" s="9">
        <v>83</v>
      </c>
      <c r="H71" s="9">
        <v>11</v>
      </c>
      <c r="I71" s="10">
        <f t="shared" si="3"/>
        <v>229</v>
      </c>
      <c r="J71" s="10">
        <v>500</v>
      </c>
      <c r="K71" s="11">
        <f t="shared" si="4"/>
        <v>0.45800000000000002</v>
      </c>
      <c r="L71" s="12">
        <f t="shared" si="5"/>
        <v>0.54200000000000004</v>
      </c>
    </row>
    <row r="72" spans="1:12" x14ac:dyDescent="0.3">
      <c r="A72" s="7" t="s">
        <v>159</v>
      </c>
      <c r="B72" t="s">
        <v>160</v>
      </c>
      <c r="C72" s="8" t="s">
        <v>32</v>
      </c>
      <c r="D72" s="9">
        <v>68</v>
      </c>
      <c r="E72" s="9">
        <v>36</v>
      </c>
      <c r="F72" s="9">
        <v>15</v>
      </c>
      <c r="G72" s="9">
        <v>20</v>
      </c>
      <c r="H72" s="9">
        <v>17</v>
      </c>
      <c r="I72" s="10">
        <f t="shared" si="3"/>
        <v>156</v>
      </c>
      <c r="J72" s="10">
        <v>500</v>
      </c>
      <c r="K72" s="11">
        <f t="shared" si="4"/>
        <v>0.312</v>
      </c>
      <c r="L72" s="12">
        <f t="shared" si="5"/>
        <v>0.68799999999999994</v>
      </c>
    </row>
    <row r="73" spans="1:12" x14ac:dyDescent="0.3">
      <c r="A73" s="7" t="s">
        <v>161</v>
      </c>
      <c r="B73" t="s">
        <v>162</v>
      </c>
      <c r="C73" s="8" t="s">
        <v>35</v>
      </c>
      <c r="D73" s="9">
        <v>32</v>
      </c>
      <c r="E73" s="9">
        <v>74</v>
      </c>
      <c r="F73" s="9">
        <v>18</v>
      </c>
      <c r="G73" s="9">
        <v>33</v>
      </c>
      <c r="H73" s="9">
        <v>51</v>
      </c>
      <c r="I73" s="10">
        <f t="shared" si="3"/>
        <v>208</v>
      </c>
      <c r="J73" s="10">
        <v>500</v>
      </c>
      <c r="K73" s="11">
        <f t="shared" si="4"/>
        <v>0.41599999999999998</v>
      </c>
      <c r="L73" s="12">
        <f t="shared" si="5"/>
        <v>0.58400000000000007</v>
      </c>
    </row>
    <row r="74" spans="1:12" x14ac:dyDescent="0.3">
      <c r="A74" s="7" t="s">
        <v>163</v>
      </c>
      <c r="B74" t="s">
        <v>164</v>
      </c>
      <c r="C74" s="8" t="s">
        <v>14</v>
      </c>
      <c r="D74" s="9">
        <v>41</v>
      </c>
      <c r="E74" s="9">
        <v>11</v>
      </c>
      <c r="F74" s="9">
        <v>46</v>
      </c>
      <c r="G74" s="9">
        <v>35</v>
      </c>
      <c r="H74" s="9">
        <v>10</v>
      </c>
      <c r="I74" s="10">
        <f t="shared" si="3"/>
        <v>143</v>
      </c>
      <c r="J74" s="10">
        <v>500</v>
      </c>
      <c r="K74" s="11">
        <f t="shared" si="4"/>
        <v>0.28599999999999998</v>
      </c>
      <c r="L74" s="12">
        <f t="shared" si="5"/>
        <v>0.71399999999999997</v>
      </c>
    </row>
    <row r="75" spans="1:12" x14ac:dyDescent="0.3">
      <c r="A75" s="7" t="s">
        <v>165</v>
      </c>
      <c r="B75" t="s">
        <v>166</v>
      </c>
      <c r="C75" s="8" t="s">
        <v>17</v>
      </c>
      <c r="D75" s="9">
        <v>41</v>
      </c>
      <c r="E75" s="9">
        <v>17</v>
      </c>
      <c r="F75" s="9">
        <v>82</v>
      </c>
      <c r="G75" s="9">
        <v>75</v>
      </c>
      <c r="H75" s="9">
        <v>39</v>
      </c>
      <c r="I75" s="10">
        <f t="shared" si="3"/>
        <v>254</v>
      </c>
      <c r="J75" s="10">
        <v>500</v>
      </c>
      <c r="K75" s="11">
        <f t="shared" si="4"/>
        <v>0.50800000000000001</v>
      </c>
      <c r="L75" s="12">
        <f t="shared" si="5"/>
        <v>0.49199999999999999</v>
      </c>
    </row>
    <row r="76" spans="1:12" x14ac:dyDescent="0.3">
      <c r="A76" s="7" t="s">
        <v>167</v>
      </c>
      <c r="B76" t="s">
        <v>168</v>
      </c>
      <c r="C76" s="8" t="s">
        <v>20</v>
      </c>
      <c r="D76" s="9">
        <v>12</v>
      </c>
      <c r="E76" s="9">
        <v>97</v>
      </c>
      <c r="F76" s="9">
        <v>45</v>
      </c>
      <c r="G76" s="9">
        <v>29</v>
      </c>
      <c r="H76" s="9">
        <v>41</v>
      </c>
      <c r="I76" s="10">
        <f t="shared" si="3"/>
        <v>224</v>
      </c>
      <c r="J76" s="10">
        <v>500</v>
      </c>
      <c r="K76" s="11">
        <f t="shared" si="4"/>
        <v>0.44800000000000001</v>
      </c>
      <c r="L76" s="12">
        <f t="shared" si="5"/>
        <v>0.55200000000000005</v>
      </c>
    </row>
    <row r="77" spans="1:12" x14ac:dyDescent="0.3">
      <c r="A77" s="7" t="s">
        <v>169</v>
      </c>
      <c r="B77" t="s">
        <v>170</v>
      </c>
      <c r="C77" s="8" t="s">
        <v>23</v>
      </c>
      <c r="D77" s="9">
        <v>19</v>
      </c>
      <c r="E77" s="9">
        <v>72</v>
      </c>
      <c r="F77" s="9">
        <v>87</v>
      </c>
      <c r="G77" s="9">
        <v>82</v>
      </c>
      <c r="H77" s="9">
        <v>27</v>
      </c>
      <c r="I77" s="10">
        <f t="shared" si="3"/>
        <v>287</v>
      </c>
      <c r="J77" s="10">
        <v>500</v>
      </c>
      <c r="K77" s="11">
        <f t="shared" si="4"/>
        <v>0.57399999999999995</v>
      </c>
      <c r="L77" s="12">
        <f t="shared" si="5"/>
        <v>0.42600000000000005</v>
      </c>
    </row>
    <row r="78" spans="1:12" x14ac:dyDescent="0.3">
      <c r="A78" s="7" t="s">
        <v>171</v>
      </c>
      <c r="B78" t="s">
        <v>172</v>
      </c>
      <c r="C78" s="8" t="s">
        <v>26</v>
      </c>
      <c r="D78" s="9">
        <v>98</v>
      </c>
      <c r="E78" s="9">
        <v>15</v>
      </c>
      <c r="F78" s="9">
        <v>72</v>
      </c>
      <c r="G78" s="9">
        <v>67</v>
      </c>
      <c r="H78" s="9">
        <v>34</v>
      </c>
      <c r="I78" s="10">
        <f t="shared" si="3"/>
        <v>286</v>
      </c>
      <c r="J78" s="10">
        <v>500</v>
      </c>
      <c r="K78" s="11">
        <f t="shared" si="4"/>
        <v>0.57199999999999995</v>
      </c>
      <c r="L78" s="12">
        <f t="shared" si="5"/>
        <v>0.42800000000000005</v>
      </c>
    </row>
    <row r="79" spans="1:12" x14ac:dyDescent="0.3">
      <c r="A79" s="7" t="s">
        <v>173</v>
      </c>
      <c r="B79" t="s">
        <v>174</v>
      </c>
      <c r="C79" s="8" t="s">
        <v>29</v>
      </c>
      <c r="D79" s="9">
        <v>50</v>
      </c>
      <c r="E79" s="9">
        <v>44</v>
      </c>
      <c r="F79" s="9">
        <v>46</v>
      </c>
      <c r="G79" s="9">
        <v>13</v>
      </c>
      <c r="H79" s="9">
        <v>92</v>
      </c>
      <c r="I79" s="10">
        <f t="shared" si="3"/>
        <v>245</v>
      </c>
      <c r="J79" s="10">
        <v>500</v>
      </c>
      <c r="K79" s="11">
        <f t="shared" si="4"/>
        <v>0.49</v>
      </c>
      <c r="L79" s="12">
        <f t="shared" si="5"/>
        <v>0.51</v>
      </c>
    </row>
    <row r="80" spans="1:12" x14ac:dyDescent="0.3">
      <c r="A80" s="7" t="s">
        <v>175</v>
      </c>
      <c r="B80" t="s">
        <v>176</v>
      </c>
      <c r="C80" s="8" t="s">
        <v>32</v>
      </c>
      <c r="D80" s="9">
        <v>40</v>
      </c>
      <c r="E80" s="9">
        <v>82</v>
      </c>
      <c r="F80" s="9">
        <v>72</v>
      </c>
      <c r="G80" s="9">
        <v>42</v>
      </c>
      <c r="H80" s="9">
        <v>45</v>
      </c>
      <c r="I80" s="10">
        <f t="shared" si="3"/>
        <v>281</v>
      </c>
      <c r="J80" s="10">
        <v>500</v>
      </c>
      <c r="K80" s="11">
        <f t="shared" si="4"/>
        <v>0.56200000000000006</v>
      </c>
      <c r="L80" s="12">
        <f t="shared" si="5"/>
        <v>0.43799999999999994</v>
      </c>
    </row>
    <row r="81" spans="1:12" x14ac:dyDescent="0.3">
      <c r="A81" s="7" t="s">
        <v>177</v>
      </c>
      <c r="B81" t="s">
        <v>178</v>
      </c>
      <c r="C81" s="8" t="s">
        <v>35</v>
      </c>
      <c r="D81" s="9">
        <v>23</v>
      </c>
      <c r="E81" s="9">
        <v>83</v>
      </c>
      <c r="F81" s="9">
        <v>63</v>
      </c>
      <c r="G81" s="9">
        <v>65</v>
      </c>
      <c r="H81" s="9">
        <v>83</v>
      </c>
      <c r="I81" s="10">
        <f t="shared" si="3"/>
        <v>317</v>
      </c>
      <c r="J81" s="10">
        <v>500</v>
      </c>
      <c r="K81" s="11">
        <f t="shared" si="4"/>
        <v>0.63400000000000001</v>
      </c>
      <c r="L81" s="12">
        <f t="shared" si="5"/>
        <v>0.36599999999999999</v>
      </c>
    </row>
    <row r="82" spans="1:12" x14ac:dyDescent="0.3">
      <c r="A82" s="7" t="s">
        <v>179</v>
      </c>
      <c r="B82" t="s">
        <v>180</v>
      </c>
      <c r="C82" s="8" t="s">
        <v>14</v>
      </c>
      <c r="D82" s="9">
        <v>71</v>
      </c>
      <c r="E82" s="9">
        <v>94</v>
      </c>
      <c r="F82" s="9">
        <v>45</v>
      </c>
      <c r="G82" s="9">
        <v>95</v>
      </c>
      <c r="H82" s="9">
        <v>46</v>
      </c>
      <c r="I82" s="10">
        <f t="shared" si="3"/>
        <v>351</v>
      </c>
      <c r="J82" s="10">
        <v>500</v>
      </c>
      <c r="K82" s="11">
        <f t="shared" si="4"/>
        <v>0.70199999999999996</v>
      </c>
      <c r="L82" s="12">
        <f t="shared" si="5"/>
        <v>0.29800000000000004</v>
      </c>
    </row>
    <row r="83" spans="1:12" x14ac:dyDescent="0.3">
      <c r="A83" s="7" t="s">
        <v>181</v>
      </c>
      <c r="B83" t="s">
        <v>182</v>
      </c>
      <c r="C83" s="8" t="s">
        <v>17</v>
      </c>
      <c r="D83" s="9">
        <v>48</v>
      </c>
      <c r="E83" s="9">
        <v>49</v>
      </c>
      <c r="F83" s="9">
        <v>68</v>
      </c>
      <c r="G83" s="9">
        <v>23</v>
      </c>
      <c r="H83" s="9">
        <v>21</v>
      </c>
      <c r="I83" s="10">
        <f t="shared" si="3"/>
        <v>209</v>
      </c>
      <c r="J83" s="10">
        <v>500</v>
      </c>
      <c r="K83" s="11">
        <f t="shared" si="4"/>
        <v>0.41799999999999998</v>
      </c>
      <c r="L83" s="12">
        <f t="shared" si="5"/>
        <v>0.58200000000000007</v>
      </c>
    </row>
    <row r="84" spans="1:12" x14ac:dyDescent="0.3">
      <c r="A84" s="7" t="s">
        <v>183</v>
      </c>
      <c r="B84" t="s">
        <v>184</v>
      </c>
      <c r="C84" s="8" t="s">
        <v>20</v>
      </c>
      <c r="D84" s="9">
        <v>77</v>
      </c>
      <c r="E84" s="9">
        <v>83</v>
      </c>
      <c r="F84" s="9">
        <v>64</v>
      </c>
      <c r="G84" s="9">
        <v>53</v>
      </c>
      <c r="H84" s="9">
        <v>13</v>
      </c>
      <c r="I84" s="10">
        <f t="shared" si="3"/>
        <v>290</v>
      </c>
      <c r="J84" s="10">
        <v>500</v>
      </c>
      <c r="K84" s="11">
        <f t="shared" si="4"/>
        <v>0.57999999999999996</v>
      </c>
      <c r="L84" s="12">
        <f t="shared" si="5"/>
        <v>0.42000000000000004</v>
      </c>
    </row>
    <row r="85" spans="1:12" x14ac:dyDescent="0.3">
      <c r="A85" s="7" t="s">
        <v>185</v>
      </c>
      <c r="B85" t="s">
        <v>186</v>
      </c>
      <c r="C85" s="8" t="s">
        <v>23</v>
      </c>
      <c r="D85" s="9">
        <v>81</v>
      </c>
      <c r="E85" s="9">
        <v>63</v>
      </c>
      <c r="F85" s="9">
        <v>88</v>
      </c>
      <c r="G85" s="9">
        <v>89</v>
      </c>
      <c r="H85" s="9">
        <v>63</v>
      </c>
      <c r="I85" s="10">
        <f t="shared" si="3"/>
        <v>384</v>
      </c>
      <c r="J85" s="10">
        <v>500</v>
      </c>
      <c r="K85" s="11">
        <f t="shared" si="4"/>
        <v>0.76800000000000002</v>
      </c>
      <c r="L85" s="12">
        <f t="shared" si="5"/>
        <v>0.23199999999999998</v>
      </c>
    </row>
    <row r="86" spans="1:12" x14ac:dyDescent="0.3">
      <c r="A86" s="7" t="s">
        <v>187</v>
      </c>
      <c r="B86" t="s">
        <v>188</v>
      </c>
      <c r="C86" s="8" t="s">
        <v>26</v>
      </c>
      <c r="D86" s="9">
        <v>39</v>
      </c>
      <c r="E86" s="9">
        <v>87</v>
      </c>
      <c r="F86" s="9">
        <v>62</v>
      </c>
      <c r="G86" s="9">
        <v>80</v>
      </c>
      <c r="H86" s="9">
        <v>81</v>
      </c>
      <c r="I86" s="10">
        <f t="shared" si="3"/>
        <v>349</v>
      </c>
      <c r="J86" s="10">
        <v>500</v>
      </c>
      <c r="K86" s="11">
        <f t="shared" si="4"/>
        <v>0.69799999999999995</v>
      </c>
      <c r="L86" s="12">
        <f t="shared" si="5"/>
        <v>0.30200000000000005</v>
      </c>
    </row>
    <row r="87" spans="1:12" x14ac:dyDescent="0.3">
      <c r="A87" s="7" t="s">
        <v>189</v>
      </c>
      <c r="B87" t="s">
        <v>190</v>
      </c>
      <c r="C87" s="8" t="s">
        <v>29</v>
      </c>
      <c r="D87" s="9">
        <v>46</v>
      </c>
      <c r="E87" s="9">
        <v>19</v>
      </c>
      <c r="F87" s="9">
        <v>59</v>
      </c>
      <c r="G87" s="9">
        <v>58</v>
      </c>
      <c r="H87" s="9">
        <v>33</v>
      </c>
      <c r="I87" s="10">
        <f t="shared" si="3"/>
        <v>215</v>
      </c>
      <c r="J87" s="10">
        <v>500</v>
      </c>
      <c r="K87" s="11">
        <f t="shared" si="4"/>
        <v>0.43</v>
      </c>
      <c r="L87" s="12">
        <f t="shared" si="5"/>
        <v>0.57000000000000006</v>
      </c>
    </row>
    <row r="88" spans="1:12" x14ac:dyDescent="0.3">
      <c r="A88" s="7" t="s">
        <v>191</v>
      </c>
      <c r="B88" t="s">
        <v>192</v>
      </c>
      <c r="C88" s="8" t="s">
        <v>32</v>
      </c>
      <c r="D88" s="9">
        <v>34</v>
      </c>
      <c r="E88" s="9">
        <v>15</v>
      </c>
      <c r="F88" s="9">
        <v>43</v>
      </c>
      <c r="G88" s="9">
        <v>63</v>
      </c>
      <c r="H88" s="9">
        <v>54</v>
      </c>
      <c r="I88" s="10">
        <f t="shared" si="3"/>
        <v>209</v>
      </c>
      <c r="J88" s="10">
        <v>500</v>
      </c>
      <c r="K88" s="11">
        <f t="shared" si="4"/>
        <v>0.41799999999999998</v>
      </c>
      <c r="L88" s="12">
        <f t="shared" si="5"/>
        <v>0.58200000000000007</v>
      </c>
    </row>
    <row r="89" spans="1:12" x14ac:dyDescent="0.3">
      <c r="A89" s="7" t="s">
        <v>193</v>
      </c>
      <c r="B89" t="s">
        <v>194</v>
      </c>
      <c r="C89" s="8" t="s">
        <v>35</v>
      </c>
      <c r="D89" s="9">
        <v>32</v>
      </c>
      <c r="E89" s="9">
        <v>79</v>
      </c>
      <c r="F89" s="9">
        <v>65</v>
      </c>
      <c r="G89" s="9">
        <v>57</v>
      </c>
      <c r="H89" s="9">
        <v>73</v>
      </c>
      <c r="I89" s="10">
        <f t="shared" si="3"/>
        <v>306</v>
      </c>
      <c r="J89" s="10">
        <v>500</v>
      </c>
      <c r="K89" s="11">
        <f t="shared" si="4"/>
        <v>0.61199999999999999</v>
      </c>
      <c r="L89" s="12">
        <f t="shared" si="5"/>
        <v>0.38800000000000001</v>
      </c>
    </row>
    <row r="90" spans="1:12" x14ac:dyDescent="0.3">
      <c r="A90" s="7" t="s">
        <v>195</v>
      </c>
      <c r="B90" t="s">
        <v>196</v>
      </c>
      <c r="C90" s="8" t="s">
        <v>14</v>
      </c>
      <c r="D90" s="9">
        <v>72</v>
      </c>
      <c r="E90" s="9">
        <v>82</v>
      </c>
      <c r="F90" s="9">
        <v>58</v>
      </c>
      <c r="G90" s="9">
        <v>36</v>
      </c>
      <c r="H90" s="9">
        <v>33</v>
      </c>
      <c r="I90" s="10">
        <f t="shared" si="3"/>
        <v>281</v>
      </c>
      <c r="J90" s="10">
        <v>500</v>
      </c>
      <c r="K90" s="11">
        <f t="shared" si="4"/>
        <v>0.56200000000000006</v>
      </c>
      <c r="L90" s="12">
        <f t="shared" si="5"/>
        <v>0.43799999999999994</v>
      </c>
    </row>
    <row r="91" spans="1:12" x14ac:dyDescent="0.3">
      <c r="A91" s="7" t="s">
        <v>197</v>
      </c>
      <c r="B91" t="s">
        <v>198</v>
      </c>
      <c r="C91" s="8" t="s">
        <v>17</v>
      </c>
      <c r="D91" s="9">
        <v>11</v>
      </c>
      <c r="E91" s="9">
        <v>69</v>
      </c>
      <c r="F91" s="9">
        <v>49</v>
      </c>
      <c r="G91" s="9">
        <v>90</v>
      </c>
      <c r="H91" s="9">
        <v>99</v>
      </c>
      <c r="I91" s="10">
        <f t="shared" si="3"/>
        <v>318</v>
      </c>
      <c r="J91" s="10">
        <v>500</v>
      </c>
      <c r="K91" s="11">
        <f t="shared" si="4"/>
        <v>0.63600000000000001</v>
      </c>
      <c r="L91" s="12">
        <f t="shared" si="5"/>
        <v>0.36399999999999999</v>
      </c>
    </row>
    <row r="92" spans="1:12" x14ac:dyDescent="0.3">
      <c r="A92" s="7" t="s">
        <v>199</v>
      </c>
      <c r="B92" t="s">
        <v>200</v>
      </c>
      <c r="C92" s="8" t="s">
        <v>20</v>
      </c>
      <c r="D92" s="9">
        <v>80</v>
      </c>
      <c r="E92" s="9">
        <v>73</v>
      </c>
      <c r="F92" s="9">
        <v>21</v>
      </c>
      <c r="G92" s="9">
        <v>72</v>
      </c>
      <c r="H92" s="9">
        <v>54</v>
      </c>
      <c r="I92" s="10">
        <f t="shared" si="3"/>
        <v>300</v>
      </c>
      <c r="J92" s="10">
        <v>500</v>
      </c>
      <c r="K92" s="11">
        <f t="shared" si="4"/>
        <v>0.6</v>
      </c>
      <c r="L92" s="12">
        <f t="shared" si="5"/>
        <v>0.4</v>
      </c>
    </row>
    <row r="93" spans="1:12" x14ac:dyDescent="0.3">
      <c r="A93" s="7" t="s">
        <v>201</v>
      </c>
      <c r="B93" t="s">
        <v>202</v>
      </c>
      <c r="C93" s="8" t="s">
        <v>23</v>
      </c>
      <c r="D93" s="9">
        <v>93</v>
      </c>
      <c r="E93" s="9">
        <v>42</v>
      </c>
      <c r="F93" s="9">
        <v>38</v>
      </c>
      <c r="G93" s="9">
        <v>98</v>
      </c>
      <c r="H93" s="9">
        <v>10</v>
      </c>
      <c r="I93" s="10">
        <f t="shared" si="3"/>
        <v>281</v>
      </c>
      <c r="J93" s="10">
        <v>500</v>
      </c>
      <c r="K93" s="11">
        <f t="shared" si="4"/>
        <v>0.56200000000000006</v>
      </c>
      <c r="L93" s="12">
        <f t="shared" si="5"/>
        <v>0.43799999999999994</v>
      </c>
    </row>
    <row r="94" spans="1:12" x14ac:dyDescent="0.3">
      <c r="A94" s="7" t="s">
        <v>203</v>
      </c>
      <c r="B94" t="s">
        <v>204</v>
      </c>
      <c r="C94" s="8" t="s">
        <v>26</v>
      </c>
      <c r="D94" s="9">
        <v>18</v>
      </c>
      <c r="E94" s="9">
        <v>80</v>
      </c>
      <c r="F94" s="9">
        <v>20</v>
      </c>
      <c r="G94" s="9">
        <v>32</v>
      </c>
      <c r="H94" s="9">
        <v>95</v>
      </c>
      <c r="I94" s="10">
        <f t="shared" si="3"/>
        <v>245</v>
      </c>
      <c r="J94" s="10">
        <v>500</v>
      </c>
      <c r="K94" s="11">
        <f t="shared" si="4"/>
        <v>0.49</v>
      </c>
      <c r="L94" s="12">
        <f t="shared" si="5"/>
        <v>0.51</v>
      </c>
    </row>
    <row r="95" spans="1:12" x14ac:dyDescent="0.3">
      <c r="A95" s="7" t="s">
        <v>205</v>
      </c>
      <c r="B95" t="s">
        <v>206</v>
      </c>
      <c r="C95" s="8" t="s">
        <v>29</v>
      </c>
      <c r="D95" s="9">
        <v>96</v>
      </c>
      <c r="E95" s="9">
        <v>14</v>
      </c>
      <c r="F95" s="9">
        <v>20</v>
      </c>
      <c r="G95" s="9">
        <v>31</v>
      </c>
      <c r="H95" s="9">
        <v>44</v>
      </c>
      <c r="I95" s="10">
        <f t="shared" si="3"/>
        <v>205</v>
      </c>
      <c r="J95" s="10">
        <v>500</v>
      </c>
      <c r="K95" s="11">
        <f t="shared" si="4"/>
        <v>0.41</v>
      </c>
      <c r="L95" s="12">
        <f t="shared" si="5"/>
        <v>0.59000000000000008</v>
      </c>
    </row>
    <row r="96" spans="1:12" x14ac:dyDescent="0.3">
      <c r="A96" s="7" t="s">
        <v>207</v>
      </c>
      <c r="B96" t="s">
        <v>208</v>
      </c>
      <c r="C96" s="8" t="s">
        <v>32</v>
      </c>
      <c r="D96" s="9">
        <v>37</v>
      </c>
      <c r="E96" s="9">
        <v>60</v>
      </c>
      <c r="F96" s="9">
        <v>50</v>
      </c>
      <c r="G96" s="9">
        <v>68</v>
      </c>
      <c r="H96" s="9">
        <v>19</v>
      </c>
      <c r="I96" s="10">
        <f t="shared" si="3"/>
        <v>234</v>
      </c>
      <c r="J96" s="10">
        <v>500</v>
      </c>
      <c r="K96" s="11">
        <f t="shared" si="4"/>
        <v>0.46800000000000003</v>
      </c>
      <c r="L96" s="12">
        <f t="shared" si="5"/>
        <v>0.53200000000000003</v>
      </c>
    </row>
    <row r="97" spans="1:12" x14ac:dyDescent="0.3">
      <c r="A97" s="7" t="s">
        <v>209</v>
      </c>
      <c r="B97" t="s">
        <v>210</v>
      </c>
      <c r="C97" s="8" t="s">
        <v>35</v>
      </c>
      <c r="D97" s="9">
        <v>35</v>
      </c>
      <c r="E97" s="9">
        <v>79</v>
      </c>
      <c r="F97" s="9">
        <v>17</v>
      </c>
      <c r="G97" s="9">
        <v>85</v>
      </c>
      <c r="H97" s="9">
        <v>16</v>
      </c>
      <c r="I97" s="10">
        <f t="shared" si="3"/>
        <v>232</v>
      </c>
      <c r="J97" s="10">
        <v>500</v>
      </c>
      <c r="K97" s="11">
        <f t="shared" si="4"/>
        <v>0.46400000000000002</v>
      </c>
      <c r="L97" s="12">
        <f t="shared" si="5"/>
        <v>0.53600000000000003</v>
      </c>
    </row>
    <row r="98" spans="1:12" x14ac:dyDescent="0.3">
      <c r="A98" s="7" t="s">
        <v>211</v>
      </c>
      <c r="B98" t="s">
        <v>212</v>
      </c>
      <c r="C98" s="8" t="s">
        <v>14</v>
      </c>
      <c r="D98" s="9">
        <v>31</v>
      </c>
      <c r="E98" s="9">
        <v>48</v>
      </c>
      <c r="F98" s="9">
        <v>56</v>
      </c>
      <c r="G98" s="9">
        <v>85</v>
      </c>
      <c r="H98" s="9">
        <v>25</v>
      </c>
      <c r="I98" s="10">
        <f t="shared" si="3"/>
        <v>245</v>
      </c>
      <c r="J98" s="10">
        <v>500</v>
      </c>
      <c r="K98" s="11">
        <f t="shared" si="4"/>
        <v>0.49</v>
      </c>
      <c r="L98" s="12">
        <f t="shared" si="5"/>
        <v>0.51</v>
      </c>
    </row>
    <row r="99" spans="1:12" x14ac:dyDescent="0.3">
      <c r="A99" s="7" t="s">
        <v>213</v>
      </c>
      <c r="B99" t="s">
        <v>214</v>
      </c>
      <c r="C99" s="8" t="s">
        <v>17</v>
      </c>
      <c r="D99" s="9">
        <v>23</v>
      </c>
      <c r="E99" s="9">
        <v>83</v>
      </c>
      <c r="F99" s="9">
        <v>86</v>
      </c>
      <c r="G99" s="9">
        <v>69</v>
      </c>
      <c r="H99" s="9">
        <v>25</v>
      </c>
      <c r="I99" s="10">
        <f t="shared" si="3"/>
        <v>286</v>
      </c>
      <c r="J99" s="10">
        <v>500</v>
      </c>
      <c r="K99" s="11">
        <f t="shared" si="4"/>
        <v>0.57199999999999995</v>
      </c>
      <c r="L99" s="12">
        <f t="shared" si="5"/>
        <v>0.42800000000000005</v>
      </c>
    </row>
    <row r="100" spans="1:12" x14ac:dyDescent="0.3">
      <c r="A100" s="7" t="s">
        <v>215</v>
      </c>
      <c r="B100" t="s">
        <v>216</v>
      </c>
      <c r="C100" s="8" t="s">
        <v>20</v>
      </c>
      <c r="D100" s="9">
        <v>17</v>
      </c>
      <c r="E100" s="9">
        <v>97</v>
      </c>
      <c r="F100" s="9">
        <v>81</v>
      </c>
      <c r="G100" s="9">
        <v>32</v>
      </c>
      <c r="H100" s="9">
        <v>76</v>
      </c>
      <c r="I100" s="10">
        <f t="shared" si="3"/>
        <v>303</v>
      </c>
      <c r="J100" s="10">
        <v>500</v>
      </c>
      <c r="K100" s="11">
        <f t="shared" si="4"/>
        <v>0.60599999999999998</v>
      </c>
      <c r="L100" s="12">
        <f t="shared" si="5"/>
        <v>0.39400000000000002</v>
      </c>
    </row>
    <row r="101" spans="1:12" x14ac:dyDescent="0.3">
      <c r="A101" s="7" t="s">
        <v>217</v>
      </c>
      <c r="B101" t="s">
        <v>218</v>
      </c>
      <c r="C101" s="8" t="s">
        <v>23</v>
      </c>
      <c r="D101" s="9">
        <v>92</v>
      </c>
      <c r="E101" s="9">
        <v>45</v>
      </c>
      <c r="F101" s="9">
        <v>43</v>
      </c>
      <c r="G101" s="9">
        <v>91</v>
      </c>
      <c r="H101" s="9">
        <v>47</v>
      </c>
      <c r="I101" s="10">
        <f t="shared" si="3"/>
        <v>318</v>
      </c>
      <c r="J101" s="10">
        <v>500</v>
      </c>
      <c r="K101" s="11">
        <f t="shared" si="4"/>
        <v>0.63600000000000001</v>
      </c>
      <c r="L101" s="12">
        <f t="shared" si="5"/>
        <v>0.36399999999999999</v>
      </c>
    </row>
    <row r="102" spans="1:12" x14ac:dyDescent="0.3">
      <c r="A102" s="7" t="s">
        <v>219</v>
      </c>
      <c r="B102" t="s">
        <v>220</v>
      </c>
      <c r="C102" s="8" t="s">
        <v>26</v>
      </c>
      <c r="D102" s="9">
        <v>49</v>
      </c>
      <c r="E102" s="9">
        <v>77</v>
      </c>
      <c r="F102" s="9">
        <v>18</v>
      </c>
      <c r="G102" s="9">
        <v>69</v>
      </c>
      <c r="H102" s="9">
        <v>55</v>
      </c>
      <c r="I102" s="10">
        <f t="shared" si="3"/>
        <v>268</v>
      </c>
      <c r="J102" s="10">
        <v>500</v>
      </c>
      <c r="K102" s="11">
        <f t="shared" si="4"/>
        <v>0.53600000000000003</v>
      </c>
      <c r="L102" s="12">
        <f t="shared" si="5"/>
        <v>0.46399999999999997</v>
      </c>
    </row>
    <row r="103" spans="1:12" x14ac:dyDescent="0.3">
      <c r="A103" s="7" t="s">
        <v>221</v>
      </c>
      <c r="B103" t="s">
        <v>222</v>
      </c>
      <c r="C103" s="8" t="s">
        <v>29</v>
      </c>
      <c r="D103" s="9">
        <v>81</v>
      </c>
      <c r="E103" s="9">
        <v>88</v>
      </c>
      <c r="F103" s="9">
        <v>19</v>
      </c>
      <c r="G103" s="9">
        <v>95</v>
      </c>
      <c r="H103" s="9">
        <v>39</v>
      </c>
      <c r="I103" s="10">
        <f t="shared" si="3"/>
        <v>322</v>
      </c>
      <c r="J103" s="10">
        <v>500</v>
      </c>
      <c r="K103" s="11">
        <f t="shared" si="4"/>
        <v>0.64400000000000002</v>
      </c>
      <c r="L103" s="12">
        <f t="shared" si="5"/>
        <v>0.35599999999999998</v>
      </c>
    </row>
    <row r="104" spans="1:12" x14ac:dyDescent="0.3">
      <c r="A104" s="7" t="s">
        <v>223</v>
      </c>
      <c r="B104" t="s">
        <v>224</v>
      </c>
      <c r="C104" s="8" t="s">
        <v>32</v>
      </c>
      <c r="D104" s="9">
        <v>55</v>
      </c>
      <c r="E104" s="9">
        <v>14</v>
      </c>
      <c r="F104" s="9">
        <v>41</v>
      </c>
      <c r="G104" s="9">
        <v>40</v>
      </c>
      <c r="H104" s="9">
        <v>70</v>
      </c>
      <c r="I104" s="10">
        <f t="shared" si="3"/>
        <v>220</v>
      </c>
      <c r="J104" s="10">
        <v>500</v>
      </c>
      <c r="K104" s="11">
        <f t="shared" si="4"/>
        <v>0.44</v>
      </c>
      <c r="L104" s="12">
        <f t="shared" si="5"/>
        <v>0.56000000000000005</v>
      </c>
    </row>
    <row r="105" spans="1:12" x14ac:dyDescent="0.3">
      <c r="A105" s="7" t="s">
        <v>225</v>
      </c>
      <c r="B105" t="s">
        <v>226</v>
      </c>
      <c r="C105" s="8" t="s">
        <v>35</v>
      </c>
      <c r="D105" s="9">
        <v>86</v>
      </c>
      <c r="E105" s="9">
        <v>13</v>
      </c>
      <c r="F105" s="9">
        <v>99</v>
      </c>
      <c r="G105" s="9">
        <v>25</v>
      </c>
      <c r="H105" s="9">
        <v>83</v>
      </c>
      <c r="I105" s="10">
        <f t="shared" si="3"/>
        <v>306</v>
      </c>
      <c r="J105" s="10">
        <v>500</v>
      </c>
      <c r="K105" s="11">
        <f t="shared" si="4"/>
        <v>0.61199999999999999</v>
      </c>
      <c r="L105" s="12">
        <f t="shared" si="5"/>
        <v>0.38800000000000001</v>
      </c>
    </row>
    <row r="106" spans="1:12" x14ac:dyDescent="0.3">
      <c r="A106" s="7" t="s">
        <v>227</v>
      </c>
      <c r="B106" t="s">
        <v>228</v>
      </c>
      <c r="C106" s="8" t="s">
        <v>14</v>
      </c>
      <c r="D106" s="9">
        <v>88</v>
      </c>
      <c r="E106" s="9">
        <v>96</v>
      </c>
      <c r="F106" s="9">
        <v>16</v>
      </c>
      <c r="G106" s="9">
        <v>65</v>
      </c>
      <c r="H106" s="9">
        <v>86</v>
      </c>
      <c r="I106" s="10">
        <f t="shared" si="3"/>
        <v>351</v>
      </c>
      <c r="J106" s="10">
        <v>500</v>
      </c>
      <c r="K106" s="11">
        <f t="shared" si="4"/>
        <v>0.70199999999999996</v>
      </c>
      <c r="L106" s="12">
        <f t="shared" si="5"/>
        <v>0.29800000000000004</v>
      </c>
    </row>
    <row r="107" spans="1:12" x14ac:dyDescent="0.3">
      <c r="A107" s="7" t="s">
        <v>229</v>
      </c>
      <c r="B107" t="s">
        <v>230</v>
      </c>
      <c r="C107" s="8" t="s">
        <v>17</v>
      </c>
      <c r="D107" s="9">
        <v>61</v>
      </c>
      <c r="E107" s="9">
        <v>73</v>
      </c>
      <c r="F107" s="9">
        <v>34</v>
      </c>
      <c r="G107" s="9">
        <v>30</v>
      </c>
      <c r="H107" s="9">
        <v>30</v>
      </c>
      <c r="I107" s="10">
        <f t="shared" si="3"/>
        <v>228</v>
      </c>
      <c r="J107" s="10">
        <v>500</v>
      </c>
      <c r="K107" s="11">
        <f t="shared" si="4"/>
        <v>0.45600000000000002</v>
      </c>
      <c r="L107" s="12">
        <f t="shared" si="5"/>
        <v>0.54400000000000004</v>
      </c>
    </row>
    <row r="108" spans="1:12" x14ac:dyDescent="0.3">
      <c r="A108" s="7" t="s">
        <v>231</v>
      </c>
      <c r="B108" t="s">
        <v>232</v>
      </c>
      <c r="C108" s="8" t="s">
        <v>20</v>
      </c>
      <c r="D108" s="9">
        <v>61</v>
      </c>
      <c r="E108" s="9">
        <v>91</v>
      </c>
      <c r="F108" s="9">
        <v>53</v>
      </c>
      <c r="G108" s="9">
        <v>78</v>
      </c>
      <c r="H108" s="9">
        <v>91</v>
      </c>
      <c r="I108" s="10">
        <f t="shared" si="3"/>
        <v>374</v>
      </c>
      <c r="J108" s="10">
        <v>500</v>
      </c>
      <c r="K108" s="11">
        <f t="shared" si="4"/>
        <v>0.748</v>
      </c>
      <c r="L108" s="12">
        <f t="shared" si="5"/>
        <v>0.252</v>
      </c>
    </row>
    <row r="109" spans="1:12" x14ac:dyDescent="0.3">
      <c r="A109" s="7" t="s">
        <v>233</v>
      </c>
      <c r="B109" t="s">
        <v>234</v>
      </c>
      <c r="C109" s="8" t="s">
        <v>23</v>
      </c>
      <c r="D109" s="9">
        <v>75</v>
      </c>
      <c r="E109" s="9">
        <v>53</v>
      </c>
      <c r="F109" s="9">
        <v>27</v>
      </c>
      <c r="G109" s="9">
        <v>26</v>
      </c>
      <c r="H109" s="9">
        <v>30</v>
      </c>
      <c r="I109" s="10">
        <f t="shared" si="3"/>
        <v>211</v>
      </c>
      <c r="J109" s="10">
        <v>500</v>
      </c>
      <c r="K109" s="11">
        <f t="shared" si="4"/>
        <v>0.42199999999999999</v>
      </c>
      <c r="L109" s="12">
        <f t="shared" si="5"/>
        <v>0.57800000000000007</v>
      </c>
    </row>
    <row r="110" spans="1:12" x14ac:dyDescent="0.3">
      <c r="A110" s="7" t="s">
        <v>235</v>
      </c>
      <c r="B110" t="s">
        <v>236</v>
      </c>
      <c r="C110" s="8" t="s">
        <v>26</v>
      </c>
      <c r="D110" s="9">
        <v>24</v>
      </c>
      <c r="E110" s="9">
        <v>31</v>
      </c>
      <c r="F110" s="9">
        <v>41</v>
      </c>
      <c r="G110" s="9">
        <v>57</v>
      </c>
      <c r="H110" s="9">
        <v>83</v>
      </c>
      <c r="I110" s="10">
        <f t="shared" si="3"/>
        <v>236</v>
      </c>
      <c r="J110" s="10">
        <v>500</v>
      </c>
      <c r="K110" s="11">
        <f t="shared" si="4"/>
        <v>0.47199999999999998</v>
      </c>
      <c r="L110" s="12">
        <f t="shared" si="5"/>
        <v>0.52800000000000002</v>
      </c>
    </row>
    <row r="111" spans="1:12" x14ac:dyDescent="0.3">
      <c r="A111" s="7" t="s">
        <v>237</v>
      </c>
      <c r="B111" t="s">
        <v>238</v>
      </c>
      <c r="C111" s="8" t="s">
        <v>29</v>
      </c>
      <c r="D111" s="9">
        <v>83</v>
      </c>
      <c r="E111" s="9">
        <v>62</v>
      </c>
      <c r="F111" s="9">
        <v>32</v>
      </c>
      <c r="G111" s="9">
        <v>83</v>
      </c>
      <c r="H111" s="9">
        <v>95</v>
      </c>
      <c r="I111" s="10">
        <f t="shared" si="3"/>
        <v>355</v>
      </c>
      <c r="J111" s="10">
        <v>500</v>
      </c>
      <c r="K111" s="11">
        <f t="shared" si="4"/>
        <v>0.71</v>
      </c>
      <c r="L111" s="12">
        <f t="shared" si="5"/>
        <v>0.29000000000000004</v>
      </c>
    </row>
    <row r="112" spans="1:12" x14ac:dyDescent="0.3">
      <c r="A112" s="7" t="s">
        <v>239</v>
      </c>
      <c r="B112" t="s">
        <v>240</v>
      </c>
      <c r="C112" s="8" t="s">
        <v>32</v>
      </c>
      <c r="D112" s="9">
        <v>39</v>
      </c>
      <c r="E112" s="9">
        <v>52</v>
      </c>
      <c r="F112" s="9">
        <v>72</v>
      </c>
      <c r="G112" s="9">
        <v>99</v>
      </c>
      <c r="H112" s="9">
        <v>58</v>
      </c>
      <c r="I112" s="10">
        <f t="shared" si="3"/>
        <v>320</v>
      </c>
      <c r="J112" s="10">
        <v>500</v>
      </c>
      <c r="K112" s="11">
        <f t="shared" si="4"/>
        <v>0.64</v>
      </c>
      <c r="L112" s="12">
        <f t="shared" si="5"/>
        <v>0.36</v>
      </c>
    </row>
    <row r="113" spans="1:12" x14ac:dyDescent="0.3">
      <c r="A113" s="7" t="s">
        <v>241</v>
      </c>
      <c r="B113" t="s">
        <v>242</v>
      </c>
      <c r="C113" s="8" t="s">
        <v>35</v>
      </c>
      <c r="D113" s="9">
        <v>93</v>
      </c>
      <c r="E113" s="9">
        <v>74</v>
      </c>
      <c r="F113" s="9">
        <v>85</v>
      </c>
      <c r="G113" s="9">
        <v>47</v>
      </c>
      <c r="H113" s="9">
        <v>90</v>
      </c>
      <c r="I113" s="10">
        <f t="shared" si="3"/>
        <v>389</v>
      </c>
      <c r="J113" s="10">
        <v>500</v>
      </c>
      <c r="K113" s="11">
        <f t="shared" si="4"/>
        <v>0.77800000000000002</v>
      </c>
      <c r="L113" s="12">
        <f t="shared" si="5"/>
        <v>0.22199999999999998</v>
      </c>
    </row>
    <row r="114" spans="1:12" x14ac:dyDescent="0.3">
      <c r="A114" s="7" t="s">
        <v>243</v>
      </c>
      <c r="B114" t="s">
        <v>244</v>
      </c>
      <c r="C114" s="8" t="s">
        <v>14</v>
      </c>
      <c r="D114" s="9">
        <v>43</v>
      </c>
      <c r="E114" s="9">
        <v>88</v>
      </c>
      <c r="F114" s="9">
        <v>35</v>
      </c>
      <c r="G114" s="9">
        <v>54</v>
      </c>
      <c r="H114" s="9">
        <v>91</v>
      </c>
      <c r="I114" s="10">
        <f t="shared" si="3"/>
        <v>311</v>
      </c>
      <c r="J114" s="10">
        <v>500</v>
      </c>
      <c r="K114" s="11">
        <f t="shared" si="4"/>
        <v>0.622</v>
      </c>
      <c r="L114" s="12">
        <f t="shared" si="5"/>
        <v>0.378</v>
      </c>
    </row>
    <row r="115" spans="1:12" x14ac:dyDescent="0.3">
      <c r="A115" s="7" t="s">
        <v>245</v>
      </c>
      <c r="B115" t="s">
        <v>246</v>
      </c>
      <c r="C115" s="8" t="s">
        <v>17</v>
      </c>
      <c r="D115" s="9">
        <v>87</v>
      </c>
      <c r="E115" s="9">
        <v>15</v>
      </c>
      <c r="F115" s="9">
        <v>11</v>
      </c>
      <c r="G115" s="9">
        <v>42</v>
      </c>
      <c r="H115" s="9">
        <v>88</v>
      </c>
      <c r="I115" s="10">
        <f t="shared" si="3"/>
        <v>243</v>
      </c>
      <c r="J115" s="10">
        <v>500</v>
      </c>
      <c r="K115" s="11">
        <f t="shared" si="4"/>
        <v>0.48599999999999999</v>
      </c>
      <c r="L115" s="12">
        <f t="shared" si="5"/>
        <v>0.51400000000000001</v>
      </c>
    </row>
    <row r="116" spans="1:12" x14ac:dyDescent="0.3">
      <c r="A116" s="7" t="s">
        <v>247</v>
      </c>
      <c r="B116" t="s">
        <v>248</v>
      </c>
      <c r="C116" s="8" t="s">
        <v>20</v>
      </c>
      <c r="D116" s="9">
        <v>45</v>
      </c>
      <c r="E116" s="9">
        <v>45</v>
      </c>
      <c r="F116" s="9">
        <v>61</v>
      </c>
      <c r="G116" s="9">
        <v>11</v>
      </c>
      <c r="H116" s="9">
        <v>52</v>
      </c>
      <c r="I116" s="10">
        <f t="shared" si="3"/>
        <v>214</v>
      </c>
      <c r="J116" s="10">
        <v>500</v>
      </c>
      <c r="K116" s="11">
        <f t="shared" si="4"/>
        <v>0.42799999999999999</v>
      </c>
      <c r="L116" s="12">
        <f t="shared" si="5"/>
        <v>0.57200000000000006</v>
      </c>
    </row>
    <row r="117" spans="1:12" x14ac:dyDescent="0.3">
      <c r="A117" s="7" t="s">
        <v>249</v>
      </c>
      <c r="B117" t="s">
        <v>250</v>
      </c>
      <c r="C117" s="8" t="s">
        <v>23</v>
      </c>
      <c r="D117" s="9">
        <v>71</v>
      </c>
      <c r="E117" s="9">
        <v>42</v>
      </c>
      <c r="F117" s="9">
        <v>17</v>
      </c>
      <c r="G117" s="9">
        <v>57</v>
      </c>
      <c r="H117" s="9">
        <v>96</v>
      </c>
      <c r="I117" s="10">
        <f t="shared" si="3"/>
        <v>283</v>
      </c>
      <c r="J117" s="10">
        <v>500</v>
      </c>
      <c r="K117" s="11">
        <f t="shared" si="4"/>
        <v>0.56599999999999995</v>
      </c>
      <c r="L117" s="12">
        <f t="shared" si="5"/>
        <v>0.43400000000000005</v>
      </c>
    </row>
    <row r="118" spans="1:12" x14ac:dyDescent="0.3">
      <c r="A118" s="7" t="s">
        <v>251</v>
      </c>
      <c r="B118" t="s">
        <v>252</v>
      </c>
      <c r="C118" s="8" t="s">
        <v>26</v>
      </c>
      <c r="D118" s="9">
        <v>26</v>
      </c>
      <c r="E118" s="9">
        <v>65</v>
      </c>
      <c r="F118" s="9">
        <v>17</v>
      </c>
      <c r="G118" s="9">
        <v>28</v>
      </c>
      <c r="H118" s="9">
        <v>30</v>
      </c>
      <c r="I118" s="10">
        <f t="shared" si="3"/>
        <v>166</v>
      </c>
      <c r="J118" s="10">
        <v>500</v>
      </c>
      <c r="K118" s="11">
        <f t="shared" si="4"/>
        <v>0.33200000000000002</v>
      </c>
      <c r="L118" s="12">
        <f t="shared" si="5"/>
        <v>0.66799999999999993</v>
      </c>
    </row>
    <row r="119" spans="1:12" x14ac:dyDescent="0.3">
      <c r="A119" s="7" t="s">
        <v>253</v>
      </c>
      <c r="B119" t="s">
        <v>254</v>
      </c>
      <c r="C119" s="8" t="s">
        <v>29</v>
      </c>
      <c r="D119" s="9">
        <v>26</v>
      </c>
      <c r="E119" s="9">
        <v>61</v>
      </c>
      <c r="F119" s="9">
        <v>89</v>
      </c>
      <c r="G119" s="9">
        <v>71</v>
      </c>
      <c r="H119" s="9">
        <v>33</v>
      </c>
      <c r="I119" s="10">
        <f t="shared" si="3"/>
        <v>280</v>
      </c>
      <c r="J119" s="10">
        <v>500</v>
      </c>
      <c r="K119" s="11">
        <f t="shared" si="4"/>
        <v>0.56000000000000005</v>
      </c>
      <c r="L119" s="12">
        <f t="shared" si="5"/>
        <v>0.43999999999999995</v>
      </c>
    </row>
    <row r="120" spans="1:12" x14ac:dyDescent="0.3">
      <c r="A120" s="7" t="s">
        <v>255</v>
      </c>
      <c r="B120" t="s">
        <v>256</v>
      </c>
      <c r="C120" s="8" t="s">
        <v>32</v>
      </c>
      <c r="D120" s="9">
        <v>93</v>
      </c>
      <c r="E120" s="9">
        <v>11</v>
      </c>
      <c r="F120" s="9">
        <v>93</v>
      </c>
      <c r="G120" s="9">
        <v>31</v>
      </c>
      <c r="H120" s="9">
        <v>30</v>
      </c>
      <c r="I120" s="10">
        <f t="shared" si="3"/>
        <v>258</v>
      </c>
      <c r="J120" s="10">
        <v>500</v>
      </c>
      <c r="K120" s="11">
        <f t="shared" si="4"/>
        <v>0.51600000000000001</v>
      </c>
      <c r="L120" s="12">
        <f t="shared" si="5"/>
        <v>0.48399999999999999</v>
      </c>
    </row>
    <row r="121" spans="1:12" x14ac:dyDescent="0.3">
      <c r="A121" s="7" t="s">
        <v>257</v>
      </c>
      <c r="B121" t="s">
        <v>258</v>
      </c>
      <c r="C121" s="8" t="s">
        <v>35</v>
      </c>
      <c r="D121" s="9">
        <v>65</v>
      </c>
      <c r="E121" s="9">
        <v>92</v>
      </c>
      <c r="F121" s="9">
        <v>48</v>
      </c>
      <c r="G121" s="9">
        <v>96</v>
      </c>
      <c r="H121" s="9">
        <v>15</v>
      </c>
      <c r="I121" s="10">
        <f t="shared" si="3"/>
        <v>316</v>
      </c>
      <c r="J121" s="10">
        <v>500</v>
      </c>
      <c r="K121" s="11">
        <f t="shared" si="4"/>
        <v>0.63200000000000001</v>
      </c>
      <c r="L121" s="12">
        <f t="shared" si="5"/>
        <v>0.36799999999999999</v>
      </c>
    </row>
    <row r="122" spans="1:12" x14ac:dyDescent="0.3">
      <c r="A122" s="7" t="s">
        <v>259</v>
      </c>
      <c r="B122" t="s">
        <v>260</v>
      </c>
      <c r="C122" s="8" t="s">
        <v>14</v>
      </c>
      <c r="D122" s="9">
        <v>91</v>
      </c>
      <c r="E122" s="9">
        <v>38</v>
      </c>
      <c r="F122" s="9">
        <v>33</v>
      </c>
      <c r="G122" s="9">
        <v>55</v>
      </c>
      <c r="H122" s="9">
        <v>83</v>
      </c>
      <c r="I122" s="10">
        <f t="shared" si="3"/>
        <v>300</v>
      </c>
      <c r="J122" s="10">
        <v>500</v>
      </c>
      <c r="K122" s="11">
        <f t="shared" si="4"/>
        <v>0.6</v>
      </c>
      <c r="L122" s="12">
        <f t="shared" si="5"/>
        <v>0.4</v>
      </c>
    </row>
    <row r="123" spans="1:12" x14ac:dyDescent="0.3">
      <c r="A123" s="7" t="s">
        <v>261</v>
      </c>
      <c r="B123" t="s">
        <v>262</v>
      </c>
      <c r="C123" s="8" t="s">
        <v>17</v>
      </c>
      <c r="D123" s="9">
        <v>20</v>
      </c>
      <c r="E123" s="9">
        <v>94</v>
      </c>
      <c r="F123" s="9">
        <v>45</v>
      </c>
      <c r="G123" s="9">
        <v>70</v>
      </c>
      <c r="H123" s="9">
        <v>98</v>
      </c>
      <c r="I123" s="10">
        <f t="shared" si="3"/>
        <v>327</v>
      </c>
      <c r="J123" s="10">
        <v>500</v>
      </c>
      <c r="K123" s="11">
        <f t="shared" si="4"/>
        <v>0.65400000000000003</v>
      </c>
      <c r="L123" s="12">
        <f t="shared" si="5"/>
        <v>0.34599999999999997</v>
      </c>
    </row>
    <row r="124" spans="1:12" x14ac:dyDescent="0.3">
      <c r="A124" s="7" t="s">
        <v>263</v>
      </c>
      <c r="B124" t="s">
        <v>264</v>
      </c>
      <c r="C124" s="8" t="s">
        <v>20</v>
      </c>
      <c r="D124" s="9">
        <v>25</v>
      </c>
      <c r="E124" s="9">
        <v>83</v>
      </c>
      <c r="F124" s="9">
        <v>26</v>
      </c>
      <c r="G124" s="9">
        <v>68</v>
      </c>
      <c r="H124" s="9">
        <v>22</v>
      </c>
      <c r="I124" s="10">
        <f t="shared" si="3"/>
        <v>224</v>
      </c>
      <c r="J124" s="10">
        <v>500</v>
      </c>
      <c r="K124" s="11">
        <f t="shared" si="4"/>
        <v>0.44800000000000001</v>
      </c>
      <c r="L124" s="12">
        <f t="shared" si="5"/>
        <v>0.55200000000000005</v>
      </c>
    </row>
    <row r="125" spans="1:12" x14ac:dyDescent="0.3">
      <c r="A125" s="7" t="s">
        <v>265</v>
      </c>
      <c r="B125" t="s">
        <v>266</v>
      </c>
      <c r="C125" s="8" t="s">
        <v>23</v>
      </c>
      <c r="D125" s="9">
        <v>26</v>
      </c>
      <c r="E125" s="9">
        <v>16</v>
      </c>
      <c r="F125" s="9">
        <v>61</v>
      </c>
      <c r="G125" s="9">
        <v>92</v>
      </c>
      <c r="H125" s="9">
        <v>50</v>
      </c>
      <c r="I125" s="10">
        <f t="shared" si="3"/>
        <v>245</v>
      </c>
      <c r="J125" s="10">
        <v>500</v>
      </c>
      <c r="K125" s="11">
        <f t="shared" si="4"/>
        <v>0.49</v>
      </c>
      <c r="L125" s="12">
        <f t="shared" si="5"/>
        <v>0.51</v>
      </c>
    </row>
    <row r="126" spans="1:12" x14ac:dyDescent="0.3">
      <c r="A126" s="7" t="s">
        <v>267</v>
      </c>
      <c r="B126" t="s">
        <v>268</v>
      </c>
      <c r="C126" s="8" t="s">
        <v>26</v>
      </c>
      <c r="D126" s="9">
        <v>31</v>
      </c>
      <c r="E126" s="9">
        <v>55</v>
      </c>
      <c r="F126" s="9">
        <v>75</v>
      </c>
      <c r="G126" s="9">
        <v>66</v>
      </c>
      <c r="H126" s="9">
        <v>75</v>
      </c>
      <c r="I126" s="10">
        <f t="shared" si="3"/>
        <v>302</v>
      </c>
      <c r="J126" s="10">
        <v>500</v>
      </c>
      <c r="K126" s="11">
        <f t="shared" si="4"/>
        <v>0.60399999999999998</v>
      </c>
      <c r="L126" s="12">
        <f t="shared" si="5"/>
        <v>0.39600000000000002</v>
      </c>
    </row>
    <row r="127" spans="1:12" x14ac:dyDescent="0.3">
      <c r="A127" s="7" t="s">
        <v>269</v>
      </c>
      <c r="B127" t="s">
        <v>270</v>
      </c>
      <c r="C127" s="8" t="s">
        <v>29</v>
      </c>
      <c r="D127" s="9">
        <v>41</v>
      </c>
      <c r="E127" s="9">
        <v>66</v>
      </c>
      <c r="F127" s="9">
        <v>48</v>
      </c>
      <c r="G127" s="9">
        <v>70</v>
      </c>
      <c r="H127" s="9">
        <v>48</v>
      </c>
      <c r="I127" s="10">
        <f t="shared" si="3"/>
        <v>273</v>
      </c>
      <c r="J127" s="10">
        <v>500</v>
      </c>
      <c r="K127" s="11">
        <f t="shared" si="4"/>
        <v>0.54600000000000004</v>
      </c>
      <c r="L127" s="12">
        <f t="shared" si="5"/>
        <v>0.45399999999999996</v>
      </c>
    </row>
    <row r="128" spans="1:12" x14ac:dyDescent="0.3">
      <c r="A128" s="7" t="s">
        <v>271</v>
      </c>
      <c r="B128" t="s">
        <v>272</v>
      </c>
      <c r="C128" s="8" t="s">
        <v>32</v>
      </c>
      <c r="D128" s="9">
        <v>60</v>
      </c>
      <c r="E128" s="9">
        <v>92</v>
      </c>
      <c r="F128" s="9">
        <v>32</v>
      </c>
      <c r="G128" s="9">
        <v>60</v>
      </c>
      <c r="H128" s="9">
        <v>78</v>
      </c>
      <c r="I128" s="10">
        <f t="shared" si="3"/>
        <v>322</v>
      </c>
      <c r="J128" s="10">
        <v>500</v>
      </c>
      <c r="K128" s="11">
        <f t="shared" si="4"/>
        <v>0.64400000000000002</v>
      </c>
      <c r="L128" s="12">
        <f t="shared" si="5"/>
        <v>0.35599999999999998</v>
      </c>
    </row>
    <row r="129" spans="1:12" x14ac:dyDescent="0.3">
      <c r="A129" s="7" t="s">
        <v>273</v>
      </c>
      <c r="B129" t="s">
        <v>274</v>
      </c>
      <c r="C129" s="8" t="s">
        <v>35</v>
      </c>
      <c r="D129" s="9">
        <v>42</v>
      </c>
      <c r="E129" s="9">
        <v>24</v>
      </c>
      <c r="F129" s="9">
        <v>19</v>
      </c>
      <c r="G129" s="9">
        <v>82</v>
      </c>
      <c r="H129" s="9">
        <v>16</v>
      </c>
      <c r="I129" s="10">
        <f t="shared" si="3"/>
        <v>183</v>
      </c>
      <c r="J129" s="10">
        <v>500</v>
      </c>
      <c r="K129" s="11">
        <f t="shared" si="4"/>
        <v>0.36599999999999999</v>
      </c>
      <c r="L129" s="12">
        <f t="shared" si="5"/>
        <v>0.63400000000000001</v>
      </c>
    </row>
    <row r="130" spans="1:12" x14ac:dyDescent="0.3">
      <c r="A130" s="7" t="s">
        <v>275</v>
      </c>
      <c r="B130" t="s">
        <v>276</v>
      </c>
      <c r="C130" s="8" t="s">
        <v>14</v>
      </c>
      <c r="D130" s="9">
        <v>26</v>
      </c>
      <c r="E130" s="9">
        <v>85</v>
      </c>
      <c r="F130" s="9">
        <v>75</v>
      </c>
      <c r="G130" s="9">
        <v>83</v>
      </c>
      <c r="H130" s="9">
        <v>37</v>
      </c>
      <c r="I130" s="10">
        <f t="shared" si="3"/>
        <v>306</v>
      </c>
      <c r="J130" s="10">
        <v>500</v>
      </c>
      <c r="K130" s="11">
        <f t="shared" si="4"/>
        <v>0.61199999999999999</v>
      </c>
      <c r="L130" s="12">
        <f t="shared" si="5"/>
        <v>0.38800000000000001</v>
      </c>
    </row>
    <row r="131" spans="1:12" x14ac:dyDescent="0.3">
      <c r="A131" s="7" t="s">
        <v>277</v>
      </c>
      <c r="B131" t="s">
        <v>278</v>
      </c>
      <c r="C131" s="8" t="s">
        <v>17</v>
      </c>
      <c r="D131" s="9">
        <v>81</v>
      </c>
      <c r="E131" s="9">
        <v>68</v>
      </c>
      <c r="F131" s="9">
        <v>74</v>
      </c>
      <c r="G131" s="9">
        <v>72</v>
      </c>
      <c r="H131" s="9">
        <v>12</v>
      </c>
      <c r="I131" s="10">
        <f t="shared" ref="I131:I142" si="6">SUM(D131:H131)</f>
        <v>307</v>
      </c>
      <c r="J131" s="10">
        <v>500</v>
      </c>
      <c r="K131" s="11">
        <f t="shared" ref="K131:K142" si="7">I131/J131</f>
        <v>0.61399999999999999</v>
      </c>
      <c r="L131" s="12">
        <f t="shared" ref="L131:L142" si="8">100%-K131</f>
        <v>0.38600000000000001</v>
      </c>
    </row>
    <row r="132" spans="1:12" x14ac:dyDescent="0.3">
      <c r="A132" s="7" t="s">
        <v>279</v>
      </c>
      <c r="B132" t="s">
        <v>280</v>
      </c>
      <c r="C132" s="8" t="s">
        <v>20</v>
      </c>
      <c r="D132" s="9">
        <v>90</v>
      </c>
      <c r="E132" s="9">
        <v>79</v>
      </c>
      <c r="F132" s="9">
        <v>99</v>
      </c>
      <c r="G132" s="9">
        <v>60</v>
      </c>
      <c r="H132" s="9">
        <v>27</v>
      </c>
      <c r="I132" s="10">
        <f t="shared" si="6"/>
        <v>355</v>
      </c>
      <c r="J132" s="10">
        <v>500</v>
      </c>
      <c r="K132" s="11">
        <f t="shared" si="7"/>
        <v>0.71</v>
      </c>
      <c r="L132" s="12">
        <f t="shared" si="8"/>
        <v>0.29000000000000004</v>
      </c>
    </row>
    <row r="133" spans="1:12" x14ac:dyDescent="0.3">
      <c r="A133" s="7" t="s">
        <v>281</v>
      </c>
      <c r="B133" t="s">
        <v>282</v>
      </c>
      <c r="C133" s="8" t="s">
        <v>23</v>
      </c>
      <c r="D133" s="9">
        <v>71</v>
      </c>
      <c r="E133" s="9">
        <v>21</v>
      </c>
      <c r="F133" s="9">
        <v>70</v>
      </c>
      <c r="G133" s="9">
        <v>53</v>
      </c>
      <c r="H133" s="9">
        <v>49</v>
      </c>
      <c r="I133" s="10">
        <f t="shared" si="6"/>
        <v>264</v>
      </c>
      <c r="J133" s="10">
        <v>500</v>
      </c>
      <c r="K133" s="11">
        <f t="shared" si="7"/>
        <v>0.52800000000000002</v>
      </c>
      <c r="L133" s="12">
        <f t="shared" si="8"/>
        <v>0.47199999999999998</v>
      </c>
    </row>
    <row r="134" spans="1:12" x14ac:dyDescent="0.3">
      <c r="A134" s="7" t="s">
        <v>283</v>
      </c>
      <c r="B134" t="s">
        <v>284</v>
      </c>
      <c r="C134" s="8" t="s">
        <v>26</v>
      </c>
      <c r="D134" s="9">
        <v>86</v>
      </c>
      <c r="E134" s="9">
        <v>60</v>
      </c>
      <c r="F134" s="9">
        <v>59</v>
      </c>
      <c r="G134" s="9">
        <v>51</v>
      </c>
      <c r="H134" s="9">
        <v>90</v>
      </c>
      <c r="I134" s="10">
        <f t="shared" si="6"/>
        <v>346</v>
      </c>
      <c r="J134" s="10">
        <v>500</v>
      </c>
      <c r="K134" s="11">
        <f t="shared" si="7"/>
        <v>0.69199999999999995</v>
      </c>
      <c r="L134" s="12">
        <f t="shared" si="8"/>
        <v>0.30800000000000005</v>
      </c>
    </row>
    <row r="135" spans="1:12" x14ac:dyDescent="0.3">
      <c r="A135" s="7" t="s">
        <v>285</v>
      </c>
      <c r="B135" t="s">
        <v>286</v>
      </c>
      <c r="C135" s="8" t="s">
        <v>29</v>
      </c>
      <c r="D135" s="9">
        <v>68</v>
      </c>
      <c r="E135" s="9">
        <v>61</v>
      </c>
      <c r="F135" s="9">
        <v>12</v>
      </c>
      <c r="G135" s="9">
        <v>41</v>
      </c>
      <c r="H135" s="9">
        <v>35</v>
      </c>
      <c r="I135" s="10">
        <f t="shared" si="6"/>
        <v>217</v>
      </c>
      <c r="J135" s="10">
        <v>500</v>
      </c>
      <c r="K135" s="11">
        <f t="shared" si="7"/>
        <v>0.434</v>
      </c>
      <c r="L135" s="12">
        <f t="shared" si="8"/>
        <v>0.56600000000000006</v>
      </c>
    </row>
    <row r="136" spans="1:12" x14ac:dyDescent="0.3">
      <c r="A136" s="7" t="s">
        <v>287</v>
      </c>
      <c r="B136" t="s">
        <v>288</v>
      </c>
      <c r="C136" s="8" t="s">
        <v>32</v>
      </c>
      <c r="D136" s="9">
        <v>65</v>
      </c>
      <c r="E136" s="9">
        <v>34</v>
      </c>
      <c r="F136" s="9">
        <v>15</v>
      </c>
      <c r="G136" s="9">
        <v>86</v>
      </c>
      <c r="H136" s="9">
        <v>71</v>
      </c>
      <c r="I136" s="10">
        <f t="shared" si="6"/>
        <v>271</v>
      </c>
      <c r="J136" s="10">
        <v>500</v>
      </c>
      <c r="K136" s="11">
        <f t="shared" si="7"/>
        <v>0.54200000000000004</v>
      </c>
      <c r="L136" s="12">
        <f t="shared" si="8"/>
        <v>0.45799999999999996</v>
      </c>
    </row>
    <row r="137" spans="1:12" x14ac:dyDescent="0.3">
      <c r="A137" s="7" t="s">
        <v>289</v>
      </c>
      <c r="B137" t="s">
        <v>290</v>
      </c>
      <c r="C137" s="8" t="s">
        <v>35</v>
      </c>
      <c r="D137" s="9">
        <v>91</v>
      </c>
      <c r="E137" s="9">
        <v>21</v>
      </c>
      <c r="F137" s="9">
        <v>59</v>
      </c>
      <c r="G137" s="9">
        <v>85</v>
      </c>
      <c r="H137" s="9">
        <v>60</v>
      </c>
      <c r="I137" s="10">
        <f t="shared" si="6"/>
        <v>316</v>
      </c>
      <c r="J137" s="10">
        <v>500</v>
      </c>
      <c r="K137" s="11">
        <f t="shared" si="7"/>
        <v>0.63200000000000001</v>
      </c>
      <c r="L137" s="12">
        <f t="shared" si="8"/>
        <v>0.36799999999999999</v>
      </c>
    </row>
    <row r="138" spans="1:12" x14ac:dyDescent="0.3">
      <c r="A138" s="7" t="s">
        <v>291</v>
      </c>
      <c r="B138" t="s">
        <v>292</v>
      </c>
      <c r="C138" s="8" t="s">
        <v>14</v>
      </c>
      <c r="D138" s="9">
        <v>73</v>
      </c>
      <c r="E138" s="9">
        <v>67</v>
      </c>
      <c r="F138" s="9">
        <v>49</v>
      </c>
      <c r="G138" s="9">
        <v>56</v>
      </c>
      <c r="H138" s="9">
        <v>43</v>
      </c>
      <c r="I138" s="10">
        <f t="shared" si="6"/>
        <v>288</v>
      </c>
      <c r="J138" s="10">
        <v>500</v>
      </c>
      <c r="K138" s="11">
        <f t="shared" si="7"/>
        <v>0.57599999999999996</v>
      </c>
      <c r="L138" s="12">
        <f t="shared" si="8"/>
        <v>0.42400000000000004</v>
      </c>
    </row>
    <row r="139" spans="1:12" x14ac:dyDescent="0.3">
      <c r="A139" s="7" t="s">
        <v>293</v>
      </c>
      <c r="B139" t="s">
        <v>294</v>
      </c>
      <c r="C139" s="8" t="s">
        <v>17</v>
      </c>
      <c r="D139" s="9">
        <v>72</v>
      </c>
      <c r="E139" s="9">
        <v>49</v>
      </c>
      <c r="F139" s="9">
        <v>93</v>
      </c>
      <c r="G139" s="9">
        <v>95</v>
      </c>
      <c r="H139" s="9">
        <v>73</v>
      </c>
      <c r="I139" s="10">
        <f t="shared" si="6"/>
        <v>382</v>
      </c>
      <c r="J139" s="10">
        <v>500</v>
      </c>
      <c r="K139" s="11">
        <f t="shared" si="7"/>
        <v>0.76400000000000001</v>
      </c>
      <c r="L139" s="12">
        <f t="shared" si="8"/>
        <v>0.23599999999999999</v>
      </c>
    </row>
    <row r="140" spans="1:12" x14ac:dyDescent="0.3">
      <c r="A140" s="7" t="s">
        <v>295</v>
      </c>
      <c r="B140" t="s">
        <v>296</v>
      </c>
      <c r="C140" s="8" t="s">
        <v>20</v>
      </c>
      <c r="D140" s="9">
        <v>85</v>
      </c>
      <c r="E140" s="9">
        <v>43</v>
      </c>
      <c r="F140" s="9">
        <v>74</v>
      </c>
      <c r="G140" s="9">
        <v>26</v>
      </c>
      <c r="H140" s="9">
        <v>88</v>
      </c>
      <c r="I140" s="10">
        <f t="shared" si="6"/>
        <v>316</v>
      </c>
      <c r="J140" s="10">
        <v>500</v>
      </c>
      <c r="K140" s="11">
        <f t="shared" si="7"/>
        <v>0.63200000000000001</v>
      </c>
      <c r="L140" s="12">
        <f t="shared" si="8"/>
        <v>0.36799999999999999</v>
      </c>
    </row>
    <row r="141" spans="1:12" x14ac:dyDescent="0.3">
      <c r="A141" s="7" t="s">
        <v>297</v>
      </c>
      <c r="B141" t="s">
        <v>298</v>
      </c>
      <c r="C141" s="8" t="s">
        <v>23</v>
      </c>
      <c r="D141" s="9">
        <v>77</v>
      </c>
      <c r="E141" s="9">
        <v>81</v>
      </c>
      <c r="F141" s="9">
        <v>10</v>
      </c>
      <c r="G141" s="9">
        <v>65</v>
      </c>
      <c r="H141" s="9">
        <v>83</v>
      </c>
      <c r="I141" s="10">
        <f t="shared" si="6"/>
        <v>316</v>
      </c>
      <c r="J141" s="10">
        <v>500</v>
      </c>
      <c r="K141" s="11">
        <f t="shared" si="7"/>
        <v>0.63200000000000001</v>
      </c>
      <c r="L141" s="12">
        <f t="shared" si="8"/>
        <v>0.36799999999999999</v>
      </c>
    </row>
    <row r="142" spans="1:12" x14ac:dyDescent="0.3">
      <c r="A142" s="7" t="s">
        <v>299</v>
      </c>
      <c r="B142" t="s">
        <v>300</v>
      </c>
      <c r="C142" s="8" t="s">
        <v>26</v>
      </c>
      <c r="D142" s="9">
        <v>46</v>
      </c>
      <c r="E142" s="9">
        <v>52</v>
      </c>
      <c r="F142" s="9">
        <v>57</v>
      </c>
      <c r="G142" s="9">
        <v>67</v>
      </c>
      <c r="H142" s="9">
        <v>64</v>
      </c>
      <c r="I142" s="10">
        <f t="shared" si="6"/>
        <v>286</v>
      </c>
      <c r="J142" s="10">
        <v>500</v>
      </c>
      <c r="K142" s="11">
        <f t="shared" si="7"/>
        <v>0.57199999999999995</v>
      </c>
      <c r="L142" s="12">
        <f t="shared" si="8"/>
        <v>0.42800000000000005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3717-470A-49D8-A6E1-EAE77570EF19}">
  <sheetPr codeName="Sheet3"/>
  <dimension ref="A1:O25"/>
  <sheetViews>
    <sheetView zoomScaleNormal="100" workbookViewId="0">
      <selection activeCell="O3" sqref="O3"/>
    </sheetView>
  </sheetViews>
  <sheetFormatPr defaultRowHeight="14.4" x14ac:dyDescent="0.3"/>
  <cols>
    <col min="2" max="2" width="16" bestFit="1" customWidth="1"/>
    <col min="3" max="3" width="10.77734375" bestFit="1" customWidth="1"/>
    <col min="4" max="4" width="2.77734375" customWidth="1"/>
    <col min="5" max="5" width="16" bestFit="1" customWidth="1"/>
    <col min="6" max="6" width="11" bestFit="1" customWidth="1"/>
    <col min="7" max="7" width="3" customWidth="1"/>
    <col min="8" max="8" width="18.5546875" customWidth="1"/>
    <col min="9" max="9" width="15.6640625" bestFit="1" customWidth="1"/>
    <col min="10" max="10" width="2.33203125" customWidth="1"/>
    <col min="11" max="11" width="20.5546875" bestFit="1" customWidth="1"/>
    <col min="12" max="12" width="25.21875" bestFit="1" customWidth="1"/>
  </cols>
  <sheetData>
    <row r="1" spans="1:15" ht="35.4" customHeight="1" x14ac:dyDescent="0.3">
      <c r="A1" s="1"/>
      <c r="B1" s="1" t="b">
        <v>1</v>
      </c>
      <c r="C1" s="1"/>
      <c r="D1" s="1"/>
      <c r="E1" s="1" t="b">
        <v>1</v>
      </c>
      <c r="F1" s="1"/>
      <c r="G1" s="1"/>
      <c r="H1" s="1" t="b">
        <v>1</v>
      </c>
      <c r="I1" s="1"/>
      <c r="J1" s="1"/>
      <c r="K1" s="1" t="b">
        <v>1</v>
      </c>
      <c r="L1" s="1"/>
      <c r="M1" s="1"/>
    </row>
    <row r="2" spans="1:15" ht="54" customHeight="1" x14ac:dyDescent="0.3">
      <c r="A2" s="1"/>
      <c r="B2" s="1"/>
      <c r="C2" s="1"/>
      <c r="D2" s="1"/>
      <c r="E2" s="1"/>
      <c r="F2" s="1"/>
      <c r="G2" s="1"/>
      <c r="H2" s="1"/>
      <c r="I2" s="1"/>
      <c r="J2" s="1"/>
      <c r="K2" s="1"/>
      <c r="L2" s="1"/>
      <c r="M2" s="1"/>
    </row>
    <row r="3" spans="1:15" x14ac:dyDescent="0.3">
      <c r="A3" s="1"/>
      <c r="B3" s="14" t="s">
        <v>1</v>
      </c>
      <c r="C3" s="14" t="s">
        <v>303</v>
      </c>
      <c r="D3" s="1"/>
      <c r="E3" s="14" t="s">
        <v>1</v>
      </c>
      <c r="F3" s="14" t="s">
        <v>303</v>
      </c>
      <c r="G3" s="2"/>
      <c r="H3" s="14" t="s">
        <v>1</v>
      </c>
      <c r="I3" s="14" t="s">
        <v>301</v>
      </c>
      <c r="J3" s="2"/>
      <c r="K3" s="14" t="s">
        <v>1</v>
      </c>
      <c r="L3" s="14" t="s">
        <v>302</v>
      </c>
      <c r="M3" s="1"/>
    </row>
    <row r="4" spans="1:15" x14ac:dyDescent="0.3">
      <c r="A4" s="1"/>
      <c r="B4" s="15" t="s">
        <v>228</v>
      </c>
      <c r="C4" s="17">
        <v>351</v>
      </c>
      <c r="D4" s="1"/>
      <c r="E4" s="15" t="s">
        <v>212</v>
      </c>
      <c r="F4" s="17">
        <v>245</v>
      </c>
      <c r="G4" s="1"/>
      <c r="H4" s="15" t="s">
        <v>228</v>
      </c>
      <c r="I4" s="16">
        <v>0.70199999999999996</v>
      </c>
      <c r="J4" s="1"/>
      <c r="K4" s="15" t="s">
        <v>212</v>
      </c>
      <c r="L4" s="16">
        <v>0.51</v>
      </c>
      <c r="M4" s="1"/>
    </row>
    <row r="5" spans="1:15" x14ac:dyDescent="0.3">
      <c r="A5" s="1"/>
      <c r="B5" s="15" t="s">
        <v>180</v>
      </c>
      <c r="C5" s="17">
        <v>351</v>
      </c>
      <c r="D5" s="1"/>
      <c r="E5" s="15" t="s">
        <v>196</v>
      </c>
      <c r="F5" s="17">
        <v>281</v>
      </c>
      <c r="G5" s="1"/>
      <c r="H5" s="15" t="s">
        <v>180</v>
      </c>
      <c r="I5" s="16">
        <v>0.70199999999999996</v>
      </c>
      <c r="J5" s="1"/>
      <c r="K5" s="15" t="s">
        <v>196</v>
      </c>
      <c r="L5" s="16">
        <v>0.43799999999999994</v>
      </c>
      <c r="M5" s="1"/>
    </row>
    <row r="6" spans="1:15" x14ac:dyDescent="0.3">
      <c r="A6" s="1"/>
      <c r="B6" s="15" t="s">
        <v>13</v>
      </c>
      <c r="C6" s="17">
        <v>339</v>
      </c>
      <c r="D6" s="1"/>
      <c r="E6" s="15" t="s">
        <v>164</v>
      </c>
      <c r="F6" s="17">
        <v>143</v>
      </c>
      <c r="G6" s="1"/>
      <c r="H6" s="15" t="s">
        <v>13</v>
      </c>
      <c r="I6" s="16">
        <v>0.67800000000000005</v>
      </c>
      <c r="J6" s="1"/>
      <c r="K6" s="15" t="s">
        <v>164</v>
      </c>
      <c r="L6" s="16">
        <v>0.71399999999999997</v>
      </c>
      <c r="M6" s="1"/>
    </row>
    <row r="7" spans="1:15" x14ac:dyDescent="0.3">
      <c r="A7" s="1"/>
      <c r="B7" s="15" t="s">
        <v>85</v>
      </c>
      <c r="C7" s="17">
        <v>332</v>
      </c>
      <c r="D7" s="1"/>
      <c r="E7" s="15" t="s">
        <v>101</v>
      </c>
      <c r="F7" s="17">
        <v>207</v>
      </c>
      <c r="G7" s="1"/>
      <c r="H7" s="15" t="s">
        <v>85</v>
      </c>
      <c r="I7" s="16">
        <v>0.66400000000000003</v>
      </c>
      <c r="J7" s="1"/>
      <c r="K7" s="15" t="s">
        <v>101</v>
      </c>
      <c r="L7" s="16">
        <v>0.58600000000000008</v>
      </c>
      <c r="M7" s="1"/>
    </row>
    <row r="8" spans="1:15" x14ac:dyDescent="0.3">
      <c r="A8" s="1"/>
      <c r="B8" s="15" t="s">
        <v>69</v>
      </c>
      <c r="C8" s="17">
        <v>344</v>
      </c>
      <c r="D8" s="1"/>
      <c r="E8" s="15" t="s">
        <v>37</v>
      </c>
      <c r="F8" s="17">
        <v>189</v>
      </c>
      <c r="G8" s="1"/>
      <c r="H8" s="15" t="s">
        <v>69</v>
      </c>
      <c r="I8" s="16">
        <v>0.68799999999999994</v>
      </c>
      <c r="J8" s="1"/>
      <c r="K8" s="15" t="s">
        <v>37</v>
      </c>
      <c r="L8" s="16">
        <v>0.622</v>
      </c>
      <c r="M8" s="1"/>
      <c r="O8" t="s">
        <v>305</v>
      </c>
    </row>
    <row r="9" spans="1:15" x14ac:dyDescent="0.3">
      <c r="A9" s="1"/>
      <c r="B9" s="1"/>
      <c r="C9" s="1"/>
      <c r="D9" s="1"/>
      <c r="E9" s="1"/>
      <c r="F9" s="1"/>
      <c r="G9" s="1"/>
      <c r="H9" s="1"/>
      <c r="I9" s="1"/>
      <c r="J9" s="1"/>
      <c r="K9" s="1"/>
      <c r="L9" s="1"/>
      <c r="M9" s="1"/>
    </row>
    <row r="10" spans="1:15" x14ac:dyDescent="0.3">
      <c r="A10" s="1"/>
      <c r="B10" s="1"/>
      <c r="C10" s="1"/>
      <c r="D10" s="1"/>
      <c r="E10" s="1"/>
      <c r="F10" s="1"/>
      <c r="G10" s="1"/>
      <c r="H10" s="1"/>
      <c r="I10" s="1"/>
      <c r="J10" s="1"/>
      <c r="K10" s="1"/>
      <c r="L10" s="1"/>
      <c r="M10" s="1"/>
    </row>
    <row r="11" spans="1:15" x14ac:dyDescent="0.3">
      <c r="A11" s="1"/>
      <c r="B11" s="1"/>
      <c r="C11" s="1"/>
      <c r="D11" s="1"/>
      <c r="E11" s="1"/>
      <c r="F11" s="1"/>
      <c r="G11" s="1"/>
      <c r="H11" s="1"/>
      <c r="I11" s="1"/>
      <c r="J11" s="1"/>
      <c r="K11" s="1"/>
      <c r="L11" s="1"/>
      <c r="M11" s="1"/>
    </row>
    <row r="12" spans="1:15" x14ac:dyDescent="0.3">
      <c r="A12" s="1"/>
      <c r="B12" s="1"/>
      <c r="C12" s="1"/>
      <c r="D12" s="1"/>
      <c r="E12" s="1"/>
      <c r="F12" s="1"/>
      <c r="G12" s="1"/>
      <c r="H12" s="1"/>
      <c r="I12" s="1"/>
      <c r="J12" s="1"/>
      <c r="K12" s="1"/>
      <c r="L12" s="1"/>
      <c r="M12" s="1"/>
    </row>
    <row r="13" spans="1:15" x14ac:dyDescent="0.3">
      <c r="A13" s="1"/>
      <c r="B13" s="1"/>
      <c r="C13" s="1"/>
      <c r="D13" s="1"/>
      <c r="E13" s="1"/>
      <c r="F13" s="1"/>
      <c r="G13" s="1"/>
      <c r="H13" s="1"/>
      <c r="I13" s="1"/>
      <c r="J13" s="1"/>
      <c r="K13" s="1"/>
      <c r="L13" s="1"/>
      <c r="M13" s="1"/>
    </row>
    <row r="14" spans="1:15" x14ac:dyDescent="0.3">
      <c r="A14" s="1"/>
      <c r="B14" s="1"/>
      <c r="C14" s="1"/>
      <c r="D14" s="1"/>
      <c r="E14" s="1"/>
      <c r="F14" s="1"/>
      <c r="G14" s="1"/>
      <c r="H14" s="1"/>
      <c r="I14" s="1"/>
      <c r="J14" s="1"/>
      <c r="K14" s="1"/>
      <c r="L14" s="1"/>
      <c r="M14" s="1"/>
    </row>
    <row r="15" spans="1:15" x14ac:dyDescent="0.3">
      <c r="A15" s="1"/>
      <c r="B15" s="1"/>
      <c r="C15" s="1"/>
      <c r="D15" s="1"/>
      <c r="E15" s="1"/>
      <c r="F15" s="1"/>
      <c r="G15" s="1"/>
      <c r="H15" s="1"/>
      <c r="I15" s="1"/>
      <c r="J15" s="1"/>
      <c r="K15" s="1"/>
      <c r="L15" s="1"/>
      <c r="M15" s="1"/>
    </row>
    <row r="16" spans="1:15" x14ac:dyDescent="0.3">
      <c r="A16" s="1"/>
      <c r="B16" s="1"/>
      <c r="C16" s="1"/>
      <c r="D16" s="1"/>
      <c r="E16" s="1"/>
      <c r="F16" s="1"/>
      <c r="G16" s="1"/>
      <c r="H16" s="1"/>
      <c r="I16" s="1"/>
      <c r="J16" s="1"/>
      <c r="K16" s="1"/>
      <c r="L16" s="1"/>
      <c r="M16" s="1"/>
    </row>
    <row r="17" spans="1:13" x14ac:dyDescent="0.3">
      <c r="A17" s="1"/>
      <c r="B17" s="1"/>
      <c r="C17" s="1"/>
      <c r="D17" s="1"/>
      <c r="E17" s="1"/>
      <c r="F17" s="1"/>
      <c r="G17" s="1"/>
      <c r="H17" s="1"/>
      <c r="I17" s="1"/>
      <c r="J17" s="1"/>
      <c r="K17" s="1"/>
      <c r="L17" s="1"/>
      <c r="M17" s="1"/>
    </row>
    <row r="18" spans="1:13" x14ac:dyDescent="0.3">
      <c r="A18" s="1"/>
      <c r="B18" s="1"/>
      <c r="C18" s="1"/>
      <c r="D18" s="1"/>
      <c r="E18" s="1"/>
      <c r="F18" s="1"/>
      <c r="G18" s="1"/>
      <c r="H18" s="1"/>
      <c r="I18" s="1"/>
      <c r="J18" s="1"/>
      <c r="K18" s="1"/>
      <c r="L18" s="1"/>
      <c r="M18" s="1"/>
    </row>
    <row r="19" spans="1:13" x14ac:dyDescent="0.3">
      <c r="A19" s="1"/>
      <c r="B19" s="1"/>
      <c r="C19" s="1"/>
      <c r="D19" s="1"/>
      <c r="E19" s="1"/>
      <c r="F19" s="1"/>
      <c r="G19" s="1"/>
      <c r="H19" s="1"/>
      <c r="I19" s="1"/>
      <c r="J19" s="1"/>
      <c r="K19" s="1"/>
      <c r="L19" s="1"/>
      <c r="M19" s="1"/>
    </row>
    <row r="20" spans="1:13" x14ac:dyDescent="0.3">
      <c r="A20" s="1"/>
      <c r="B20" s="1"/>
      <c r="C20" s="1"/>
      <c r="D20" s="1"/>
      <c r="E20" s="1"/>
      <c r="F20" s="1"/>
      <c r="G20" s="1"/>
      <c r="H20" s="1"/>
      <c r="I20" s="1"/>
      <c r="J20" s="1"/>
      <c r="K20" s="1"/>
      <c r="L20" s="1"/>
      <c r="M20" s="1"/>
    </row>
    <row r="21" spans="1:13" x14ac:dyDescent="0.3">
      <c r="A21" s="1"/>
      <c r="B21" s="1"/>
      <c r="C21" s="1"/>
      <c r="D21" s="1"/>
      <c r="E21" s="1"/>
      <c r="F21" s="1"/>
      <c r="G21" s="1"/>
      <c r="H21" s="1"/>
      <c r="I21" s="1"/>
      <c r="J21" s="1"/>
      <c r="K21" s="1"/>
      <c r="L21" s="1"/>
      <c r="M21" s="1"/>
    </row>
    <row r="22" spans="1:13" x14ac:dyDescent="0.3">
      <c r="A22" s="1"/>
      <c r="B22" s="1"/>
      <c r="C22" s="1"/>
      <c r="D22" s="1"/>
      <c r="E22" s="1"/>
      <c r="F22" s="1"/>
      <c r="G22" s="1"/>
      <c r="H22" s="1"/>
      <c r="I22" s="1"/>
      <c r="J22" s="1"/>
      <c r="K22" s="1"/>
      <c r="L22" s="1"/>
      <c r="M22" s="1"/>
    </row>
    <row r="23" spans="1:13" x14ac:dyDescent="0.3">
      <c r="A23" s="1"/>
      <c r="B23" s="1"/>
      <c r="C23" s="1"/>
      <c r="D23" s="1"/>
      <c r="E23" s="1"/>
      <c r="F23" s="1"/>
      <c r="G23" s="1"/>
      <c r="H23" s="1"/>
      <c r="I23" s="1"/>
      <c r="J23" s="1"/>
      <c r="K23" s="1"/>
      <c r="L23" s="1"/>
      <c r="M23" s="1"/>
    </row>
    <row r="24" spans="1:13" x14ac:dyDescent="0.3">
      <c r="A24" s="1"/>
      <c r="B24" s="1"/>
      <c r="C24" s="1"/>
      <c r="D24" s="1"/>
      <c r="E24" s="1"/>
      <c r="F24" s="1"/>
      <c r="G24" s="1"/>
      <c r="H24" s="1"/>
      <c r="I24" s="1"/>
      <c r="J24" s="1"/>
      <c r="K24" s="1"/>
      <c r="L24" s="1"/>
      <c r="M24" s="1"/>
    </row>
    <row r="25" spans="1:13" x14ac:dyDescent="0.3">
      <c r="A25" s="1"/>
      <c r="B25" s="1"/>
      <c r="C25" s="1"/>
      <c r="D25" s="1"/>
      <c r="E25" s="1"/>
      <c r="F25" s="1"/>
      <c r="G25" s="1"/>
      <c r="H25" s="1"/>
      <c r="I25" s="1"/>
      <c r="J25" s="1"/>
      <c r="K25" s="1"/>
      <c r="L25" s="1"/>
      <c r="M25" s="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5" r:id="rId8" name="Check Box 3">
              <controlPr defaultSize="0" autoFill="0" autoLine="0" autoPict="0" macro="[0]!slicerconnection">
                <anchor moveWithCells="1">
                  <from>
                    <xdr:col>1</xdr:col>
                    <xdr:colOff>312420</xdr:colOff>
                    <xdr:row>1</xdr:row>
                    <xdr:rowOff>259080</xdr:rowOff>
                  </from>
                  <to>
                    <xdr:col>2</xdr:col>
                    <xdr:colOff>91440</xdr:colOff>
                    <xdr:row>1</xdr:row>
                    <xdr:rowOff>480060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4</xdr:col>
                    <xdr:colOff>297180</xdr:colOff>
                    <xdr:row>1</xdr:row>
                    <xdr:rowOff>251460</xdr:rowOff>
                  </from>
                  <to>
                    <xdr:col>5</xdr:col>
                    <xdr:colOff>76200</xdr:colOff>
                    <xdr:row>1</xdr:row>
                    <xdr:rowOff>472440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7</xdr:col>
                    <xdr:colOff>358140</xdr:colOff>
                    <xdr:row>1</xdr:row>
                    <xdr:rowOff>251460</xdr:rowOff>
                  </from>
                  <to>
                    <xdr:col>7</xdr:col>
                    <xdr:colOff>1234440</xdr:colOff>
                    <xdr:row>1</xdr:row>
                    <xdr:rowOff>472440</xdr:rowOff>
                  </to>
                </anchor>
              </controlPr>
            </control>
          </mc:Choice>
        </mc:AlternateContent>
        <mc:AlternateContent xmlns:mc="http://schemas.openxmlformats.org/markup-compatibility/2006">
          <mc:Choice Requires="x14">
            <control shapeId="3078" r:id="rId11" name="Check Box 6">
              <controlPr defaultSize="0" autoFill="0" autoLine="0" autoPict="0" macro="[0]!slicerconnection">
                <anchor moveWithCells="1">
                  <from>
                    <xdr:col>10</xdr:col>
                    <xdr:colOff>472440</xdr:colOff>
                    <xdr:row>1</xdr:row>
                    <xdr:rowOff>259080</xdr:rowOff>
                  </from>
                  <to>
                    <xdr:col>10</xdr:col>
                    <xdr:colOff>1348740</xdr:colOff>
                    <xdr:row>1</xdr:row>
                    <xdr:rowOff>480060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C4300-83B9-427A-AEF0-41E6BA8BA93C}">
  <dimension ref="A1:L152"/>
  <sheetViews>
    <sheetView tabSelected="1" workbookViewId="0">
      <selection activeCell="R14" sqref="R14"/>
    </sheetView>
  </sheetViews>
  <sheetFormatPr defaultRowHeight="14.4" x14ac:dyDescent="0.3"/>
  <cols>
    <col min="1" max="1" width="11.88671875" bestFit="1" customWidth="1"/>
    <col min="2" max="2" width="15.441406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285</v>
      </c>
      <c r="B2" t="s">
        <v>286</v>
      </c>
      <c r="C2" t="s">
        <v>29</v>
      </c>
      <c r="D2">
        <v>68</v>
      </c>
      <c r="E2">
        <v>61</v>
      </c>
      <c r="F2">
        <v>12</v>
      </c>
      <c r="G2">
        <v>41</v>
      </c>
      <c r="H2">
        <v>35</v>
      </c>
      <c r="I2">
        <v>217</v>
      </c>
      <c r="J2">
        <v>500</v>
      </c>
      <c r="K2">
        <v>0.434</v>
      </c>
      <c r="L2">
        <v>0.56600000000000006</v>
      </c>
    </row>
    <row r="3" spans="1:12" x14ac:dyDescent="0.3">
      <c r="A3" t="s">
        <v>66</v>
      </c>
      <c r="B3" t="s">
        <v>67</v>
      </c>
      <c r="C3" t="s">
        <v>35</v>
      </c>
      <c r="D3">
        <v>40</v>
      </c>
      <c r="E3">
        <v>22</v>
      </c>
      <c r="F3">
        <v>18</v>
      </c>
      <c r="G3">
        <v>11</v>
      </c>
      <c r="H3">
        <v>92</v>
      </c>
      <c r="I3">
        <v>183</v>
      </c>
      <c r="J3">
        <v>500</v>
      </c>
      <c r="K3">
        <v>0.36599999999999999</v>
      </c>
      <c r="L3">
        <v>0.63400000000000001</v>
      </c>
    </row>
    <row r="4" spans="1:12" x14ac:dyDescent="0.3">
      <c r="A4" t="s">
        <v>211</v>
      </c>
      <c r="B4" t="s">
        <v>212</v>
      </c>
      <c r="C4" t="s">
        <v>14</v>
      </c>
      <c r="D4">
        <v>31</v>
      </c>
      <c r="E4">
        <v>48</v>
      </c>
      <c r="F4">
        <v>56</v>
      </c>
      <c r="G4">
        <v>85</v>
      </c>
      <c r="H4">
        <v>25</v>
      </c>
      <c r="I4">
        <v>245</v>
      </c>
      <c r="J4">
        <v>500</v>
      </c>
      <c r="K4">
        <v>0.49</v>
      </c>
      <c r="L4">
        <v>0.51</v>
      </c>
    </row>
    <row r="5" spans="1:12" x14ac:dyDescent="0.3">
      <c r="A5" t="s">
        <v>62</v>
      </c>
      <c r="B5" t="s">
        <v>63</v>
      </c>
      <c r="C5" t="s">
        <v>29</v>
      </c>
      <c r="D5">
        <v>99</v>
      </c>
      <c r="E5">
        <v>17</v>
      </c>
      <c r="F5">
        <v>48</v>
      </c>
      <c r="G5">
        <v>44</v>
      </c>
      <c r="H5">
        <v>93</v>
      </c>
      <c r="I5">
        <v>301</v>
      </c>
      <c r="J5">
        <v>500</v>
      </c>
      <c r="K5">
        <v>0.60199999999999998</v>
      </c>
      <c r="L5">
        <v>0.39800000000000002</v>
      </c>
    </row>
    <row r="6" spans="1:12" x14ac:dyDescent="0.3">
      <c r="A6" t="s">
        <v>18</v>
      </c>
      <c r="B6" t="s">
        <v>19</v>
      </c>
      <c r="C6" t="s">
        <v>20</v>
      </c>
      <c r="D6">
        <v>45</v>
      </c>
      <c r="E6">
        <v>79</v>
      </c>
      <c r="F6">
        <v>88</v>
      </c>
      <c r="G6">
        <v>73</v>
      </c>
      <c r="H6">
        <v>94</v>
      </c>
      <c r="I6">
        <v>379</v>
      </c>
      <c r="J6">
        <v>500</v>
      </c>
      <c r="K6">
        <v>0.75800000000000001</v>
      </c>
      <c r="L6">
        <v>0.24199999999999999</v>
      </c>
    </row>
    <row r="7" spans="1:12" x14ac:dyDescent="0.3">
      <c r="A7" t="s">
        <v>249</v>
      </c>
      <c r="B7" t="s">
        <v>250</v>
      </c>
      <c r="C7" t="s">
        <v>23</v>
      </c>
      <c r="D7">
        <v>71</v>
      </c>
      <c r="E7">
        <v>42</v>
      </c>
      <c r="F7">
        <v>17</v>
      </c>
      <c r="G7">
        <v>57</v>
      </c>
      <c r="H7">
        <v>96</v>
      </c>
      <c r="I7">
        <v>283</v>
      </c>
      <c r="J7">
        <v>500</v>
      </c>
      <c r="K7">
        <v>0.56599999999999995</v>
      </c>
      <c r="L7">
        <v>0.43400000000000011</v>
      </c>
    </row>
    <row r="8" spans="1:12" x14ac:dyDescent="0.3">
      <c r="A8" t="s">
        <v>96</v>
      </c>
      <c r="B8" t="s">
        <v>97</v>
      </c>
      <c r="C8" t="s">
        <v>32</v>
      </c>
      <c r="D8">
        <v>70</v>
      </c>
      <c r="E8">
        <v>18</v>
      </c>
      <c r="F8">
        <v>88</v>
      </c>
      <c r="G8">
        <v>46</v>
      </c>
      <c r="H8">
        <v>52</v>
      </c>
      <c r="I8">
        <v>274</v>
      </c>
      <c r="J8">
        <v>500</v>
      </c>
      <c r="K8">
        <v>0.54800000000000004</v>
      </c>
      <c r="L8">
        <v>0.45200000000000001</v>
      </c>
    </row>
    <row r="9" spans="1:12" x14ac:dyDescent="0.3">
      <c r="A9" t="s">
        <v>111</v>
      </c>
      <c r="B9" t="s">
        <v>112</v>
      </c>
      <c r="C9" t="s">
        <v>32</v>
      </c>
      <c r="D9">
        <v>17</v>
      </c>
      <c r="E9">
        <v>88</v>
      </c>
      <c r="F9">
        <v>12</v>
      </c>
      <c r="G9">
        <v>54</v>
      </c>
      <c r="H9">
        <v>21</v>
      </c>
      <c r="I9">
        <v>192</v>
      </c>
      <c r="J9">
        <v>500</v>
      </c>
      <c r="K9">
        <v>0.38400000000000001</v>
      </c>
      <c r="L9">
        <v>0.61599999999999999</v>
      </c>
    </row>
    <row r="10" spans="1:12" x14ac:dyDescent="0.3">
      <c r="A10" t="s">
        <v>80</v>
      </c>
      <c r="B10" t="s">
        <v>81</v>
      </c>
      <c r="C10" t="s">
        <v>32</v>
      </c>
      <c r="D10">
        <v>10</v>
      </c>
      <c r="E10">
        <v>66</v>
      </c>
      <c r="F10">
        <v>40</v>
      </c>
      <c r="G10">
        <v>22</v>
      </c>
      <c r="H10">
        <v>38</v>
      </c>
      <c r="I10">
        <v>176</v>
      </c>
      <c r="J10">
        <v>500</v>
      </c>
      <c r="K10">
        <v>0.35199999999999998</v>
      </c>
      <c r="L10">
        <v>0.64800000000000002</v>
      </c>
    </row>
    <row r="11" spans="1:12" x14ac:dyDescent="0.3">
      <c r="A11" t="s">
        <v>151</v>
      </c>
      <c r="B11" t="s">
        <v>152</v>
      </c>
      <c r="C11" t="s">
        <v>20</v>
      </c>
      <c r="D11">
        <v>87</v>
      </c>
      <c r="E11">
        <v>79</v>
      </c>
      <c r="F11">
        <v>46</v>
      </c>
      <c r="G11">
        <v>65</v>
      </c>
      <c r="H11">
        <v>65</v>
      </c>
      <c r="I11">
        <v>342</v>
      </c>
      <c r="J11">
        <v>500</v>
      </c>
      <c r="K11">
        <v>0.68400000000000005</v>
      </c>
      <c r="L11">
        <v>0.31599999999999989</v>
      </c>
    </row>
    <row r="12" spans="1:12" x14ac:dyDescent="0.3">
      <c r="A12" t="s">
        <v>245</v>
      </c>
      <c r="B12" t="s">
        <v>246</v>
      </c>
      <c r="C12" t="s">
        <v>17</v>
      </c>
      <c r="D12">
        <v>87</v>
      </c>
      <c r="E12">
        <v>15</v>
      </c>
      <c r="F12">
        <v>11</v>
      </c>
      <c r="G12">
        <v>42</v>
      </c>
      <c r="H12">
        <v>88</v>
      </c>
      <c r="I12">
        <v>243</v>
      </c>
      <c r="J12">
        <v>500</v>
      </c>
      <c r="K12">
        <v>0.48599999999999999</v>
      </c>
      <c r="L12">
        <v>0.51400000000000001</v>
      </c>
    </row>
    <row r="13" spans="1:12" x14ac:dyDescent="0.3">
      <c r="A13" t="s">
        <v>117</v>
      </c>
      <c r="B13" t="s">
        <v>118</v>
      </c>
      <c r="C13" t="s">
        <v>17</v>
      </c>
      <c r="D13">
        <v>17</v>
      </c>
      <c r="E13">
        <v>84</v>
      </c>
      <c r="F13">
        <v>90</v>
      </c>
      <c r="G13">
        <v>77</v>
      </c>
      <c r="H13">
        <v>72</v>
      </c>
      <c r="I13">
        <v>340</v>
      </c>
      <c r="J13">
        <v>500</v>
      </c>
      <c r="K13">
        <v>0.68</v>
      </c>
      <c r="L13">
        <v>0.32</v>
      </c>
    </row>
    <row r="14" spans="1:12" x14ac:dyDescent="0.3">
      <c r="A14" t="s">
        <v>239</v>
      </c>
      <c r="B14" t="s">
        <v>240</v>
      </c>
      <c r="C14" t="s">
        <v>32</v>
      </c>
      <c r="D14">
        <v>39</v>
      </c>
      <c r="E14">
        <v>52</v>
      </c>
      <c r="F14">
        <v>72</v>
      </c>
      <c r="G14">
        <v>99</v>
      </c>
      <c r="H14">
        <v>58</v>
      </c>
      <c r="I14">
        <v>320</v>
      </c>
      <c r="J14">
        <v>500</v>
      </c>
      <c r="K14">
        <v>0.64</v>
      </c>
      <c r="L14">
        <v>0.36</v>
      </c>
    </row>
    <row r="15" spans="1:12" x14ac:dyDescent="0.3">
      <c r="A15" t="s">
        <v>243</v>
      </c>
      <c r="B15" t="s">
        <v>244</v>
      </c>
      <c r="C15" t="s">
        <v>14</v>
      </c>
      <c r="D15">
        <v>43</v>
      </c>
      <c r="E15">
        <v>88</v>
      </c>
      <c r="F15">
        <v>35</v>
      </c>
      <c r="G15">
        <v>54</v>
      </c>
      <c r="H15">
        <v>91</v>
      </c>
      <c r="I15">
        <v>311</v>
      </c>
      <c r="J15">
        <v>500</v>
      </c>
      <c r="K15">
        <v>0.622</v>
      </c>
      <c r="L15">
        <v>0.378</v>
      </c>
    </row>
    <row r="16" spans="1:12" x14ac:dyDescent="0.3">
      <c r="A16" t="s">
        <v>221</v>
      </c>
      <c r="B16" t="s">
        <v>222</v>
      </c>
      <c r="C16" t="s">
        <v>29</v>
      </c>
      <c r="D16">
        <v>81</v>
      </c>
      <c r="E16">
        <v>88</v>
      </c>
      <c r="F16">
        <v>19</v>
      </c>
      <c r="G16">
        <v>95</v>
      </c>
      <c r="H16">
        <v>39</v>
      </c>
      <c r="I16">
        <v>322</v>
      </c>
      <c r="J16">
        <v>500</v>
      </c>
      <c r="K16">
        <v>0.64400000000000002</v>
      </c>
      <c r="L16">
        <v>0.35599999999999998</v>
      </c>
    </row>
    <row r="17" spans="1:12" x14ac:dyDescent="0.3">
      <c r="A17" t="s">
        <v>217</v>
      </c>
      <c r="B17" t="s">
        <v>218</v>
      </c>
      <c r="C17" t="s">
        <v>23</v>
      </c>
      <c r="D17">
        <v>92</v>
      </c>
      <c r="E17">
        <v>45</v>
      </c>
      <c r="F17">
        <v>43</v>
      </c>
      <c r="G17">
        <v>91</v>
      </c>
      <c r="H17">
        <v>47</v>
      </c>
      <c r="I17">
        <v>318</v>
      </c>
      <c r="J17">
        <v>500</v>
      </c>
      <c r="K17">
        <v>0.63600000000000001</v>
      </c>
      <c r="L17">
        <v>0.36399999999999999</v>
      </c>
    </row>
    <row r="18" spans="1:12" x14ac:dyDescent="0.3">
      <c r="A18" t="s">
        <v>161</v>
      </c>
      <c r="B18" t="s">
        <v>162</v>
      </c>
      <c r="C18" t="s">
        <v>35</v>
      </c>
      <c r="D18">
        <v>32</v>
      </c>
      <c r="E18">
        <v>74</v>
      </c>
      <c r="F18">
        <v>18</v>
      </c>
      <c r="G18">
        <v>33</v>
      </c>
      <c r="H18">
        <v>51</v>
      </c>
      <c r="I18">
        <v>208</v>
      </c>
      <c r="J18">
        <v>500</v>
      </c>
      <c r="K18">
        <v>0.41599999999999998</v>
      </c>
      <c r="L18">
        <v>0.58400000000000007</v>
      </c>
    </row>
    <row r="19" spans="1:12" x14ac:dyDescent="0.3">
      <c r="A19" t="s">
        <v>155</v>
      </c>
      <c r="B19" t="s">
        <v>156</v>
      </c>
      <c r="C19" t="s">
        <v>26</v>
      </c>
      <c r="D19">
        <v>45</v>
      </c>
      <c r="E19">
        <v>26</v>
      </c>
      <c r="F19">
        <v>27</v>
      </c>
      <c r="G19">
        <v>14</v>
      </c>
      <c r="H19">
        <v>59</v>
      </c>
      <c r="I19">
        <v>171</v>
      </c>
      <c r="J19">
        <v>500</v>
      </c>
      <c r="K19">
        <v>0.34200000000000003</v>
      </c>
      <c r="L19">
        <v>0.65799999999999992</v>
      </c>
    </row>
    <row r="20" spans="1:12" x14ac:dyDescent="0.3">
      <c r="A20" t="s">
        <v>133</v>
      </c>
      <c r="B20" t="s">
        <v>134</v>
      </c>
      <c r="C20" t="s">
        <v>17</v>
      </c>
      <c r="D20">
        <v>34</v>
      </c>
      <c r="E20">
        <v>97</v>
      </c>
      <c r="F20">
        <v>66</v>
      </c>
      <c r="G20">
        <v>45</v>
      </c>
      <c r="H20">
        <v>50</v>
      </c>
      <c r="I20">
        <v>292</v>
      </c>
      <c r="J20">
        <v>500</v>
      </c>
      <c r="K20">
        <v>0.58399999999999996</v>
      </c>
      <c r="L20">
        <v>0.41599999999999998</v>
      </c>
    </row>
    <row r="21" spans="1:12" x14ac:dyDescent="0.3">
      <c r="A21" t="s">
        <v>265</v>
      </c>
      <c r="B21" t="s">
        <v>266</v>
      </c>
      <c r="C21" t="s">
        <v>23</v>
      </c>
      <c r="D21">
        <v>26</v>
      </c>
      <c r="E21">
        <v>16</v>
      </c>
      <c r="F21">
        <v>61</v>
      </c>
      <c r="G21">
        <v>92</v>
      </c>
      <c r="H21">
        <v>50</v>
      </c>
      <c r="I21">
        <v>245</v>
      </c>
      <c r="J21">
        <v>500</v>
      </c>
      <c r="K21">
        <v>0.49</v>
      </c>
      <c r="L21">
        <v>0.51</v>
      </c>
    </row>
    <row r="22" spans="1:12" x14ac:dyDescent="0.3">
      <c r="A22" t="s">
        <v>289</v>
      </c>
      <c r="B22" t="s">
        <v>290</v>
      </c>
      <c r="C22" t="s">
        <v>35</v>
      </c>
      <c r="D22">
        <v>91</v>
      </c>
      <c r="E22">
        <v>21</v>
      </c>
      <c r="F22">
        <v>59</v>
      </c>
      <c r="G22">
        <v>85</v>
      </c>
      <c r="H22">
        <v>60</v>
      </c>
      <c r="I22">
        <v>316</v>
      </c>
      <c r="J22">
        <v>500</v>
      </c>
      <c r="K22">
        <v>0.63200000000000001</v>
      </c>
      <c r="L22">
        <v>0.36799999999999999</v>
      </c>
    </row>
    <row r="23" spans="1:12" x14ac:dyDescent="0.3">
      <c r="A23" t="s">
        <v>213</v>
      </c>
      <c r="B23" t="s">
        <v>214</v>
      </c>
      <c r="C23" t="s">
        <v>17</v>
      </c>
      <c r="D23">
        <v>23</v>
      </c>
      <c r="E23">
        <v>83</v>
      </c>
      <c r="F23">
        <v>86</v>
      </c>
      <c r="G23">
        <v>69</v>
      </c>
      <c r="H23">
        <v>25</v>
      </c>
      <c r="I23">
        <v>286</v>
      </c>
      <c r="J23">
        <v>500</v>
      </c>
      <c r="K23">
        <v>0.57199999999999995</v>
      </c>
      <c r="L23">
        <v>0.42799999999999999</v>
      </c>
    </row>
    <row r="24" spans="1:12" x14ac:dyDescent="0.3">
      <c r="A24" t="s">
        <v>82</v>
      </c>
      <c r="B24" t="s">
        <v>83</v>
      </c>
      <c r="C24" t="s">
        <v>35</v>
      </c>
      <c r="D24">
        <v>37</v>
      </c>
      <c r="E24">
        <v>30</v>
      </c>
      <c r="F24">
        <v>19</v>
      </c>
      <c r="G24">
        <v>77</v>
      </c>
      <c r="H24">
        <v>67</v>
      </c>
      <c r="I24">
        <v>230</v>
      </c>
      <c r="J24">
        <v>500</v>
      </c>
      <c r="K24">
        <v>0.46</v>
      </c>
      <c r="L24">
        <v>0.54</v>
      </c>
    </row>
    <row r="25" spans="1:12" x14ac:dyDescent="0.3">
      <c r="A25" t="s">
        <v>199</v>
      </c>
      <c r="B25" t="s">
        <v>200</v>
      </c>
      <c r="C25" t="s">
        <v>20</v>
      </c>
      <c r="D25">
        <v>80</v>
      </c>
      <c r="E25">
        <v>73</v>
      </c>
      <c r="F25">
        <v>21</v>
      </c>
      <c r="G25">
        <v>72</v>
      </c>
      <c r="H25">
        <v>54</v>
      </c>
      <c r="I25">
        <v>300</v>
      </c>
      <c r="J25">
        <v>500</v>
      </c>
      <c r="K25">
        <v>0.6</v>
      </c>
      <c r="L25">
        <v>0.4</v>
      </c>
    </row>
    <row r="26" spans="1:12" x14ac:dyDescent="0.3">
      <c r="A26" t="s">
        <v>175</v>
      </c>
      <c r="B26" t="s">
        <v>176</v>
      </c>
      <c r="C26" t="s">
        <v>32</v>
      </c>
      <c r="D26">
        <v>40</v>
      </c>
      <c r="E26">
        <v>82</v>
      </c>
      <c r="F26">
        <v>72</v>
      </c>
      <c r="G26">
        <v>42</v>
      </c>
      <c r="H26">
        <v>45</v>
      </c>
      <c r="I26">
        <v>281</v>
      </c>
      <c r="J26">
        <v>500</v>
      </c>
      <c r="K26">
        <v>0.56200000000000006</v>
      </c>
      <c r="L26">
        <v>0.43799999999999989</v>
      </c>
    </row>
    <row r="27" spans="1:12" x14ac:dyDescent="0.3">
      <c r="A27" t="s">
        <v>297</v>
      </c>
      <c r="B27" t="s">
        <v>298</v>
      </c>
      <c r="C27" t="s">
        <v>23</v>
      </c>
      <c r="D27">
        <v>77</v>
      </c>
      <c r="E27">
        <v>81</v>
      </c>
      <c r="F27">
        <v>10</v>
      </c>
      <c r="G27">
        <v>65</v>
      </c>
      <c r="H27">
        <v>83</v>
      </c>
      <c r="I27">
        <v>316</v>
      </c>
      <c r="J27">
        <v>500</v>
      </c>
      <c r="K27">
        <v>0.63200000000000001</v>
      </c>
      <c r="L27">
        <v>0.36799999999999999</v>
      </c>
    </row>
    <row r="28" spans="1:12" x14ac:dyDescent="0.3">
      <c r="A28" t="s">
        <v>181</v>
      </c>
      <c r="B28" t="s">
        <v>182</v>
      </c>
      <c r="C28" t="s">
        <v>17</v>
      </c>
      <c r="D28">
        <v>48</v>
      </c>
      <c r="E28">
        <v>49</v>
      </c>
      <c r="F28">
        <v>68</v>
      </c>
      <c r="G28">
        <v>23</v>
      </c>
      <c r="H28">
        <v>21</v>
      </c>
      <c r="I28">
        <v>209</v>
      </c>
      <c r="J28">
        <v>500</v>
      </c>
      <c r="K28">
        <v>0.41799999999999998</v>
      </c>
      <c r="L28">
        <v>0.58200000000000007</v>
      </c>
    </row>
    <row r="29" spans="1:12" x14ac:dyDescent="0.3">
      <c r="A29" t="s">
        <v>15</v>
      </c>
      <c r="B29" t="s">
        <v>16</v>
      </c>
      <c r="C29" t="s">
        <v>17</v>
      </c>
      <c r="D29">
        <v>44</v>
      </c>
      <c r="E29">
        <v>85</v>
      </c>
      <c r="F29">
        <v>47</v>
      </c>
      <c r="G29">
        <v>15</v>
      </c>
      <c r="H29">
        <v>48</v>
      </c>
      <c r="I29">
        <v>239</v>
      </c>
      <c r="J29">
        <v>500</v>
      </c>
      <c r="K29">
        <v>0.47799999999999998</v>
      </c>
      <c r="L29">
        <v>0.52200000000000002</v>
      </c>
    </row>
    <row r="30" spans="1:12" x14ac:dyDescent="0.3">
      <c r="A30" t="s">
        <v>203</v>
      </c>
      <c r="B30" t="s">
        <v>204</v>
      </c>
      <c r="C30" t="s">
        <v>26</v>
      </c>
      <c r="D30">
        <v>18</v>
      </c>
      <c r="E30">
        <v>80</v>
      </c>
      <c r="F30">
        <v>20</v>
      </c>
      <c r="G30">
        <v>32</v>
      </c>
      <c r="H30">
        <v>95</v>
      </c>
      <c r="I30">
        <v>245</v>
      </c>
      <c r="J30">
        <v>500</v>
      </c>
      <c r="K30">
        <v>0.49</v>
      </c>
      <c r="L30">
        <v>0.51</v>
      </c>
    </row>
    <row r="31" spans="1:12" x14ac:dyDescent="0.3">
      <c r="A31" t="s">
        <v>78</v>
      </c>
      <c r="B31" t="s">
        <v>79</v>
      </c>
      <c r="C31" t="s">
        <v>29</v>
      </c>
      <c r="D31">
        <v>83</v>
      </c>
      <c r="E31">
        <v>46</v>
      </c>
      <c r="F31">
        <v>99</v>
      </c>
      <c r="G31">
        <v>36</v>
      </c>
      <c r="H31">
        <v>89</v>
      </c>
      <c r="I31">
        <v>353</v>
      </c>
      <c r="J31">
        <v>500</v>
      </c>
      <c r="K31">
        <v>0.70599999999999996</v>
      </c>
      <c r="L31">
        <v>0.29399999999999998</v>
      </c>
    </row>
    <row r="33" spans="1:12" x14ac:dyDescent="0.3">
      <c r="A33" t="s">
        <v>293</v>
      </c>
      <c r="B33" t="s">
        <v>294</v>
      </c>
      <c r="C33" t="s">
        <v>17</v>
      </c>
      <c r="D33">
        <v>72</v>
      </c>
      <c r="E33">
        <v>49</v>
      </c>
      <c r="F33">
        <v>93</v>
      </c>
      <c r="G33">
        <v>95</v>
      </c>
      <c r="H33">
        <v>73</v>
      </c>
      <c r="I33">
        <v>382</v>
      </c>
      <c r="J33">
        <v>500</v>
      </c>
      <c r="K33">
        <v>0.76400000000000001</v>
      </c>
      <c r="L33">
        <v>0.23599999999999999</v>
      </c>
    </row>
    <row r="34" spans="1:12" x14ac:dyDescent="0.3">
      <c r="A34" t="s">
        <v>76</v>
      </c>
      <c r="B34" t="s">
        <v>77</v>
      </c>
      <c r="C34" t="s">
        <v>26</v>
      </c>
      <c r="D34">
        <v>65</v>
      </c>
      <c r="E34">
        <v>90</v>
      </c>
      <c r="F34">
        <v>91</v>
      </c>
      <c r="G34">
        <v>85</v>
      </c>
      <c r="H34">
        <v>10</v>
      </c>
      <c r="I34">
        <v>341</v>
      </c>
      <c r="J34">
        <v>500</v>
      </c>
      <c r="K34">
        <v>0.68200000000000005</v>
      </c>
      <c r="L34">
        <v>0.31799999999999989</v>
      </c>
    </row>
    <row r="35" spans="1:12" x14ac:dyDescent="0.3">
      <c r="A35" t="s">
        <v>191</v>
      </c>
      <c r="B35" t="s">
        <v>192</v>
      </c>
      <c r="C35" t="s">
        <v>32</v>
      </c>
      <c r="D35">
        <v>34</v>
      </c>
      <c r="E35">
        <v>15</v>
      </c>
      <c r="F35">
        <v>43</v>
      </c>
      <c r="G35">
        <v>63</v>
      </c>
      <c r="H35">
        <v>54</v>
      </c>
      <c r="I35">
        <v>209</v>
      </c>
      <c r="J35">
        <v>500</v>
      </c>
      <c r="K35">
        <v>0.41799999999999998</v>
      </c>
      <c r="L35">
        <v>0.58200000000000007</v>
      </c>
    </row>
    <row r="36" spans="1:12" x14ac:dyDescent="0.3">
      <c r="A36" t="s">
        <v>113</v>
      </c>
      <c r="B36" t="s">
        <v>114</v>
      </c>
      <c r="C36" t="s">
        <v>35</v>
      </c>
      <c r="D36">
        <v>74</v>
      </c>
      <c r="E36">
        <v>16</v>
      </c>
      <c r="F36">
        <v>74</v>
      </c>
      <c r="G36">
        <v>36</v>
      </c>
      <c r="H36">
        <v>33</v>
      </c>
      <c r="I36">
        <v>233</v>
      </c>
      <c r="J36">
        <v>500</v>
      </c>
      <c r="K36">
        <v>0.46600000000000003</v>
      </c>
      <c r="L36">
        <v>0.53400000000000003</v>
      </c>
    </row>
    <row r="37" spans="1:12" x14ac:dyDescent="0.3">
      <c r="A37" t="s">
        <v>263</v>
      </c>
      <c r="B37" t="s">
        <v>264</v>
      </c>
      <c r="C37" t="s">
        <v>20</v>
      </c>
      <c r="D37">
        <v>25</v>
      </c>
      <c r="E37">
        <v>83</v>
      </c>
      <c r="F37">
        <v>26</v>
      </c>
      <c r="G37">
        <v>68</v>
      </c>
      <c r="H37">
        <v>22</v>
      </c>
      <c r="I37">
        <v>224</v>
      </c>
      <c r="J37">
        <v>500</v>
      </c>
      <c r="K37">
        <v>0.44800000000000001</v>
      </c>
      <c r="L37">
        <v>0.55200000000000005</v>
      </c>
    </row>
    <row r="38" spans="1:12" x14ac:dyDescent="0.3">
      <c r="A38" t="s">
        <v>251</v>
      </c>
      <c r="B38" t="s">
        <v>252</v>
      </c>
      <c r="C38" t="s">
        <v>26</v>
      </c>
      <c r="D38">
        <v>26</v>
      </c>
      <c r="E38">
        <v>65</v>
      </c>
      <c r="F38">
        <v>17</v>
      </c>
      <c r="G38">
        <v>28</v>
      </c>
      <c r="H38">
        <v>30</v>
      </c>
      <c r="I38">
        <v>166</v>
      </c>
      <c r="J38">
        <v>500</v>
      </c>
      <c r="K38">
        <v>0.33200000000000002</v>
      </c>
      <c r="L38">
        <v>0.66799999999999993</v>
      </c>
    </row>
    <row r="39" spans="1:12" x14ac:dyDescent="0.3">
      <c r="A39" t="s">
        <v>60</v>
      </c>
      <c r="B39" t="s">
        <v>61</v>
      </c>
      <c r="C39" t="s">
        <v>26</v>
      </c>
      <c r="D39">
        <v>68</v>
      </c>
      <c r="E39">
        <v>73</v>
      </c>
      <c r="F39">
        <v>97</v>
      </c>
      <c r="G39">
        <v>76</v>
      </c>
      <c r="H39">
        <v>53</v>
      </c>
      <c r="I39">
        <v>367</v>
      </c>
      <c r="J39">
        <v>500</v>
      </c>
      <c r="K39">
        <v>0.73399999999999999</v>
      </c>
      <c r="L39">
        <v>0.26600000000000001</v>
      </c>
    </row>
    <row r="40" spans="1:12" x14ac:dyDescent="0.3">
      <c r="A40" t="s">
        <v>86</v>
      </c>
      <c r="B40" t="s">
        <v>87</v>
      </c>
      <c r="C40" t="s">
        <v>17</v>
      </c>
      <c r="D40">
        <v>84</v>
      </c>
      <c r="E40">
        <v>59</v>
      </c>
      <c r="F40">
        <v>41</v>
      </c>
      <c r="G40">
        <v>17</v>
      </c>
      <c r="H40">
        <v>22</v>
      </c>
      <c r="I40">
        <v>223</v>
      </c>
      <c r="J40">
        <v>500</v>
      </c>
      <c r="K40">
        <v>0.44600000000000001</v>
      </c>
      <c r="L40">
        <v>0.55400000000000005</v>
      </c>
    </row>
    <row r="41" spans="1:12" x14ac:dyDescent="0.3">
      <c r="A41" t="s">
        <v>52</v>
      </c>
      <c r="B41" t="s">
        <v>53</v>
      </c>
      <c r="C41" t="s">
        <v>14</v>
      </c>
      <c r="D41">
        <v>37</v>
      </c>
      <c r="E41">
        <v>69</v>
      </c>
      <c r="F41">
        <v>96</v>
      </c>
      <c r="G41">
        <v>66</v>
      </c>
      <c r="H41">
        <v>38</v>
      </c>
      <c r="I41">
        <v>306</v>
      </c>
      <c r="J41">
        <v>500</v>
      </c>
      <c r="K41">
        <v>0.61199999999999999</v>
      </c>
      <c r="L41">
        <v>0.38800000000000001</v>
      </c>
    </row>
    <row r="42" spans="1:12" x14ac:dyDescent="0.3">
      <c r="A42" t="s">
        <v>46</v>
      </c>
      <c r="B42" t="s">
        <v>47</v>
      </c>
      <c r="C42" t="s">
        <v>29</v>
      </c>
      <c r="D42">
        <v>83</v>
      </c>
      <c r="E42">
        <v>77</v>
      </c>
      <c r="F42">
        <v>66</v>
      </c>
      <c r="G42">
        <v>22</v>
      </c>
      <c r="H42">
        <v>40</v>
      </c>
      <c r="I42">
        <v>288</v>
      </c>
      <c r="J42">
        <v>500</v>
      </c>
      <c r="K42">
        <v>0.57599999999999996</v>
      </c>
      <c r="L42">
        <v>0.42399999999999999</v>
      </c>
    </row>
    <row r="43" spans="1:12" x14ac:dyDescent="0.3">
      <c r="A43" t="s">
        <v>147</v>
      </c>
      <c r="B43" t="s">
        <v>148</v>
      </c>
      <c r="C43" t="s">
        <v>14</v>
      </c>
      <c r="D43">
        <v>74</v>
      </c>
      <c r="E43">
        <v>51</v>
      </c>
      <c r="F43">
        <v>97</v>
      </c>
      <c r="G43">
        <v>73</v>
      </c>
      <c r="H43">
        <v>33</v>
      </c>
      <c r="I43">
        <v>328</v>
      </c>
      <c r="J43">
        <v>500</v>
      </c>
      <c r="K43">
        <v>0.65600000000000003</v>
      </c>
      <c r="L43">
        <v>0.34399999999999997</v>
      </c>
    </row>
    <row r="44" spans="1:12" x14ac:dyDescent="0.3">
      <c r="A44" t="s">
        <v>92</v>
      </c>
      <c r="B44" t="s">
        <v>93</v>
      </c>
      <c r="C44" t="s">
        <v>26</v>
      </c>
      <c r="D44">
        <v>91</v>
      </c>
      <c r="E44">
        <v>13</v>
      </c>
      <c r="F44">
        <v>79</v>
      </c>
      <c r="G44">
        <v>85</v>
      </c>
      <c r="H44">
        <v>67</v>
      </c>
      <c r="I44">
        <v>335</v>
      </c>
      <c r="J44">
        <v>500</v>
      </c>
      <c r="K44">
        <v>0.67</v>
      </c>
      <c r="L44">
        <v>0.33</v>
      </c>
    </row>
    <row r="45" spans="1:12" x14ac:dyDescent="0.3">
      <c r="A45" t="s">
        <v>287</v>
      </c>
      <c r="B45" t="s">
        <v>288</v>
      </c>
      <c r="C45" t="s">
        <v>32</v>
      </c>
      <c r="D45">
        <v>65</v>
      </c>
      <c r="E45">
        <v>34</v>
      </c>
      <c r="F45">
        <v>15</v>
      </c>
      <c r="G45">
        <v>86</v>
      </c>
      <c r="H45">
        <v>71</v>
      </c>
      <c r="I45">
        <v>271</v>
      </c>
      <c r="J45">
        <v>500</v>
      </c>
      <c r="K45">
        <v>0.54200000000000004</v>
      </c>
      <c r="L45">
        <v>0.45800000000000002</v>
      </c>
    </row>
    <row r="46" spans="1:12" x14ac:dyDescent="0.3">
      <c r="A46" t="s">
        <v>24</v>
      </c>
      <c r="B46" t="s">
        <v>25</v>
      </c>
      <c r="C46" t="s">
        <v>26</v>
      </c>
      <c r="D46">
        <v>35</v>
      </c>
      <c r="E46">
        <v>54</v>
      </c>
      <c r="F46">
        <v>49</v>
      </c>
      <c r="G46">
        <v>26</v>
      </c>
      <c r="H46">
        <v>49</v>
      </c>
      <c r="I46">
        <v>213</v>
      </c>
      <c r="J46">
        <v>500</v>
      </c>
      <c r="K46">
        <v>0.42599999999999999</v>
      </c>
      <c r="L46">
        <v>0.57400000000000007</v>
      </c>
    </row>
    <row r="48" spans="1:12" x14ac:dyDescent="0.3">
      <c r="A48" t="s">
        <v>109</v>
      </c>
      <c r="B48" t="s">
        <v>110</v>
      </c>
      <c r="C48" t="s">
        <v>29</v>
      </c>
      <c r="D48">
        <v>49</v>
      </c>
      <c r="E48">
        <v>82</v>
      </c>
      <c r="F48">
        <v>95</v>
      </c>
      <c r="G48">
        <v>46</v>
      </c>
      <c r="H48">
        <v>78</v>
      </c>
      <c r="I48">
        <v>350</v>
      </c>
      <c r="J48">
        <v>500</v>
      </c>
      <c r="K48">
        <v>0.7</v>
      </c>
      <c r="L48">
        <v>0.3</v>
      </c>
    </row>
    <row r="49" spans="1:12" x14ac:dyDescent="0.3">
      <c r="A49" t="s">
        <v>123</v>
      </c>
      <c r="B49" t="s">
        <v>124</v>
      </c>
      <c r="C49" t="s">
        <v>26</v>
      </c>
      <c r="D49">
        <v>88</v>
      </c>
      <c r="E49">
        <v>39</v>
      </c>
      <c r="F49">
        <v>25</v>
      </c>
      <c r="G49">
        <v>99</v>
      </c>
      <c r="H49">
        <v>71</v>
      </c>
      <c r="I49">
        <v>322</v>
      </c>
      <c r="J49">
        <v>500</v>
      </c>
      <c r="K49">
        <v>0.64400000000000002</v>
      </c>
      <c r="L49">
        <v>0.35599999999999998</v>
      </c>
    </row>
    <row r="50" spans="1:12" x14ac:dyDescent="0.3">
      <c r="A50" t="s">
        <v>72</v>
      </c>
      <c r="B50" t="s">
        <v>73</v>
      </c>
      <c r="C50" t="s">
        <v>20</v>
      </c>
      <c r="D50">
        <v>72</v>
      </c>
      <c r="E50">
        <v>87</v>
      </c>
      <c r="F50">
        <v>92</v>
      </c>
      <c r="G50">
        <v>72</v>
      </c>
      <c r="H50">
        <v>34</v>
      </c>
      <c r="I50">
        <v>357</v>
      </c>
      <c r="J50">
        <v>500</v>
      </c>
      <c r="K50">
        <v>0.71399999999999997</v>
      </c>
      <c r="L50">
        <v>0.28599999999999998</v>
      </c>
    </row>
    <row r="51" spans="1:12" x14ac:dyDescent="0.3">
      <c r="A51" t="s">
        <v>253</v>
      </c>
      <c r="B51" t="s">
        <v>254</v>
      </c>
      <c r="C51" t="s">
        <v>29</v>
      </c>
      <c r="D51">
        <v>26</v>
      </c>
      <c r="E51">
        <v>61</v>
      </c>
      <c r="F51">
        <v>89</v>
      </c>
      <c r="G51">
        <v>71</v>
      </c>
      <c r="H51">
        <v>33</v>
      </c>
      <c r="I51">
        <v>280</v>
      </c>
      <c r="J51">
        <v>500</v>
      </c>
      <c r="K51">
        <v>0.56000000000000005</v>
      </c>
      <c r="L51">
        <v>0.43999999999999989</v>
      </c>
    </row>
    <row r="52" spans="1:12" x14ac:dyDescent="0.3">
      <c r="A52" t="s">
        <v>21</v>
      </c>
      <c r="B52" t="s">
        <v>22</v>
      </c>
      <c r="C52" t="s">
        <v>23</v>
      </c>
      <c r="D52">
        <v>52</v>
      </c>
      <c r="E52">
        <v>99</v>
      </c>
      <c r="F52">
        <v>13</v>
      </c>
      <c r="G52">
        <v>95</v>
      </c>
      <c r="H52">
        <v>29</v>
      </c>
      <c r="I52">
        <v>288</v>
      </c>
      <c r="J52">
        <v>500</v>
      </c>
      <c r="K52">
        <v>0.57599999999999996</v>
      </c>
      <c r="L52">
        <v>0.42399999999999999</v>
      </c>
    </row>
    <row r="53" spans="1:12" x14ac:dyDescent="0.3">
      <c r="A53" t="s">
        <v>193</v>
      </c>
      <c r="B53" t="s">
        <v>194</v>
      </c>
      <c r="C53" t="s">
        <v>35</v>
      </c>
      <c r="D53">
        <v>32</v>
      </c>
      <c r="E53">
        <v>79</v>
      </c>
      <c r="F53">
        <v>65</v>
      </c>
      <c r="G53">
        <v>57</v>
      </c>
      <c r="H53">
        <v>73</v>
      </c>
      <c r="I53">
        <v>306</v>
      </c>
      <c r="J53">
        <v>500</v>
      </c>
      <c r="K53">
        <v>0.61199999999999999</v>
      </c>
      <c r="L53">
        <v>0.38800000000000001</v>
      </c>
    </row>
    <row r="54" spans="1:12" x14ac:dyDescent="0.3">
      <c r="A54" t="s">
        <v>169</v>
      </c>
      <c r="B54" t="s">
        <v>170</v>
      </c>
      <c r="C54" t="s">
        <v>23</v>
      </c>
      <c r="D54">
        <v>19</v>
      </c>
      <c r="E54">
        <v>72</v>
      </c>
      <c r="F54">
        <v>87</v>
      </c>
      <c r="G54">
        <v>82</v>
      </c>
      <c r="H54">
        <v>27</v>
      </c>
      <c r="I54">
        <v>287</v>
      </c>
      <c r="J54">
        <v>500</v>
      </c>
      <c r="K54">
        <v>0.57399999999999995</v>
      </c>
      <c r="L54">
        <v>0.42599999999999999</v>
      </c>
    </row>
    <row r="55" spans="1:12" x14ac:dyDescent="0.3">
      <c r="A55" t="s">
        <v>42</v>
      </c>
      <c r="B55" t="s">
        <v>43</v>
      </c>
      <c r="C55" t="s">
        <v>23</v>
      </c>
      <c r="D55">
        <v>79</v>
      </c>
      <c r="E55">
        <v>99</v>
      </c>
      <c r="F55">
        <v>95</v>
      </c>
      <c r="G55">
        <v>12</v>
      </c>
      <c r="H55">
        <v>91</v>
      </c>
      <c r="I55">
        <v>376</v>
      </c>
      <c r="J55">
        <v>500</v>
      </c>
      <c r="K55">
        <v>0.752</v>
      </c>
      <c r="L55">
        <v>0.248</v>
      </c>
    </row>
    <row r="56" spans="1:12" x14ac:dyDescent="0.3">
      <c r="A56" t="s">
        <v>88</v>
      </c>
      <c r="B56" t="s">
        <v>89</v>
      </c>
      <c r="C56" t="s">
        <v>20</v>
      </c>
      <c r="D56">
        <v>82</v>
      </c>
      <c r="E56">
        <v>54</v>
      </c>
      <c r="F56">
        <v>79</v>
      </c>
      <c r="G56">
        <v>61</v>
      </c>
      <c r="H56">
        <v>47</v>
      </c>
      <c r="I56">
        <v>323</v>
      </c>
      <c r="J56">
        <v>500</v>
      </c>
      <c r="K56">
        <v>0.64600000000000002</v>
      </c>
      <c r="L56">
        <v>0.35399999999999998</v>
      </c>
    </row>
    <row r="57" spans="1:12" x14ac:dyDescent="0.3">
      <c r="A57" t="s">
        <v>145</v>
      </c>
      <c r="B57" t="s">
        <v>146</v>
      </c>
      <c r="C57" t="s">
        <v>35</v>
      </c>
      <c r="D57">
        <v>75</v>
      </c>
      <c r="E57">
        <v>75</v>
      </c>
      <c r="F57">
        <v>89</v>
      </c>
      <c r="G57">
        <v>97</v>
      </c>
      <c r="H57">
        <v>49</v>
      </c>
      <c r="I57">
        <v>385</v>
      </c>
      <c r="J57">
        <v>500</v>
      </c>
      <c r="K57">
        <v>0.77</v>
      </c>
      <c r="L57">
        <v>0.23</v>
      </c>
    </row>
    <row r="58" spans="1:12" x14ac:dyDescent="0.3">
      <c r="A58" t="s">
        <v>50</v>
      </c>
      <c r="B58" t="s">
        <v>51</v>
      </c>
      <c r="C58" t="s">
        <v>35</v>
      </c>
      <c r="D58">
        <v>14</v>
      </c>
      <c r="E58">
        <v>25</v>
      </c>
      <c r="F58">
        <v>45</v>
      </c>
      <c r="G58">
        <v>70</v>
      </c>
      <c r="H58">
        <v>45</v>
      </c>
      <c r="I58">
        <v>199</v>
      </c>
      <c r="J58">
        <v>500</v>
      </c>
      <c r="K58">
        <v>0.39800000000000002</v>
      </c>
      <c r="L58">
        <v>0.60199999999999998</v>
      </c>
    </row>
    <row r="59" spans="1:12" x14ac:dyDescent="0.3">
      <c r="A59" t="s">
        <v>257</v>
      </c>
      <c r="B59" t="s">
        <v>258</v>
      </c>
      <c r="C59" t="s">
        <v>35</v>
      </c>
      <c r="D59">
        <v>65</v>
      </c>
      <c r="E59">
        <v>92</v>
      </c>
      <c r="F59">
        <v>48</v>
      </c>
      <c r="G59">
        <v>96</v>
      </c>
      <c r="H59">
        <v>15</v>
      </c>
      <c r="I59">
        <v>316</v>
      </c>
      <c r="J59">
        <v>500</v>
      </c>
      <c r="K59">
        <v>0.63200000000000001</v>
      </c>
      <c r="L59">
        <v>0.36799999999999999</v>
      </c>
    </row>
    <row r="60" spans="1:12" x14ac:dyDescent="0.3">
      <c r="A60" t="s">
        <v>223</v>
      </c>
      <c r="B60" t="s">
        <v>224</v>
      </c>
      <c r="C60" t="s">
        <v>32</v>
      </c>
      <c r="D60">
        <v>55</v>
      </c>
      <c r="E60">
        <v>14</v>
      </c>
      <c r="F60">
        <v>41</v>
      </c>
      <c r="G60">
        <v>40</v>
      </c>
      <c r="H60">
        <v>70</v>
      </c>
      <c r="I60">
        <v>220</v>
      </c>
      <c r="J60">
        <v>500</v>
      </c>
      <c r="K60">
        <v>0.44</v>
      </c>
      <c r="L60">
        <v>0.56000000000000005</v>
      </c>
    </row>
    <row r="61" spans="1:12" x14ac:dyDescent="0.3">
      <c r="A61" t="s">
        <v>131</v>
      </c>
      <c r="B61" t="s">
        <v>132</v>
      </c>
      <c r="C61" t="s">
        <v>14</v>
      </c>
      <c r="D61">
        <v>57</v>
      </c>
      <c r="E61">
        <v>60</v>
      </c>
      <c r="F61">
        <v>42</v>
      </c>
      <c r="G61">
        <v>81</v>
      </c>
      <c r="H61">
        <v>44</v>
      </c>
      <c r="I61">
        <v>284</v>
      </c>
      <c r="J61">
        <v>500</v>
      </c>
      <c r="K61">
        <v>0.56799999999999995</v>
      </c>
      <c r="L61">
        <v>0.43200000000000011</v>
      </c>
    </row>
    <row r="62" spans="1:12" x14ac:dyDescent="0.3">
      <c r="A62" t="s">
        <v>271</v>
      </c>
      <c r="B62" t="s">
        <v>272</v>
      </c>
      <c r="C62" t="s">
        <v>32</v>
      </c>
      <c r="D62">
        <v>60</v>
      </c>
      <c r="E62">
        <v>92</v>
      </c>
      <c r="F62">
        <v>32</v>
      </c>
      <c r="G62">
        <v>60</v>
      </c>
      <c r="H62">
        <v>78</v>
      </c>
      <c r="I62">
        <v>322</v>
      </c>
      <c r="J62">
        <v>500</v>
      </c>
      <c r="K62">
        <v>0.64400000000000002</v>
      </c>
      <c r="L62">
        <v>0.35599999999999998</v>
      </c>
    </row>
    <row r="63" spans="1:12" x14ac:dyDescent="0.3">
      <c r="A63" t="s">
        <v>38</v>
      </c>
      <c r="B63" t="s">
        <v>39</v>
      </c>
      <c r="C63" t="s">
        <v>17</v>
      </c>
      <c r="D63">
        <v>52</v>
      </c>
      <c r="E63">
        <v>52</v>
      </c>
      <c r="F63">
        <v>19</v>
      </c>
      <c r="G63">
        <v>53</v>
      </c>
      <c r="H63">
        <v>37</v>
      </c>
      <c r="I63">
        <v>213</v>
      </c>
      <c r="J63">
        <v>500</v>
      </c>
      <c r="K63">
        <v>0.42599999999999999</v>
      </c>
      <c r="L63">
        <v>0.57400000000000007</v>
      </c>
    </row>
    <row r="64" spans="1:12" x14ac:dyDescent="0.3">
      <c r="A64" t="s">
        <v>12</v>
      </c>
      <c r="B64" t="s">
        <v>13</v>
      </c>
      <c r="C64" t="s">
        <v>14</v>
      </c>
      <c r="D64">
        <v>49</v>
      </c>
      <c r="E64">
        <v>84</v>
      </c>
      <c r="F64">
        <v>98</v>
      </c>
      <c r="G64">
        <v>67</v>
      </c>
      <c r="H64">
        <v>41</v>
      </c>
      <c r="I64">
        <v>339</v>
      </c>
      <c r="J64">
        <v>500</v>
      </c>
      <c r="K64">
        <v>0.67800000000000005</v>
      </c>
      <c r="L64">
        <v>0.32200000000000001</v>
      </c>
    </row>
    <row r="65" spans="1:12" x14ac:dyDescent="0.3">
      <c r="A65" t="s">
        <v>90</v>
      </c>
      <c r="B65" t="s">
        <v>91</v>
      </c>
      <c r="C65" t="s">
        <v>23</v>
      </c>
      <c r="D65">
        <v>47</v>
      </c>
      <c r="E65">
        <v>23</v>
      </c>
      <c r="F65">
        <v>19</v>
      </c>
      <c r="G65">
        <v>64</v>
      </c>
      <c r="H65">
        <v>61</v>
      </c>
      <c r="I65">
        <v>214</v>
      </c>
      <c r="J65">
        <v>500</v>
      </c>
      <c r="K65">
        <v>0.42799999999999999</v>
      </c>
      <c r="L65">
        <v>0.57200000000000006</v>
      </c>
    </row>
    <row r="66" spans="1:12" x14ac:dyDescent="0.3">
      <c r="A66" t="s">
        <v>54</v>
      </c>
      <c r="B66" t="s">
        <v>55</v>
      </c>
      <c r="C66" t="s">
        <v>17</v>
      </c>
      <c r="D66">
        <v>11</v>
      </c>
      <c r="E66">
        <v>46</v>
      </c>
      <c r="F66">
        <v>91</v>
      </c>
      <c r="G66">
        <v>98</v>
      </c>
      <c r="H66">
        <v>45</v>
      </c>
      <c r="I66">
        <v>291</v>
      </c>
      <c r="J66">
        <v>500</v>
      </c>
      <c r="K66">
        <v>0.58199999999999996</v>
      </c>
      <c r="L66">
        <v>0.41799999999999998</v>
      </c>
    </row>
    <row r="67" spans="1:12" x14ac:dyDescent="0.3">
      <c r="A67" t="s">
        <v>299</v>
      </c>
      <c r="B67" t="s">
        <v>300</v>
      </c>
      <c r="C67" t="s">
        <v>26</v>
      </c>
      <c r="D67">
        <v>46</v>
      </c>
      <c r="E67">
        <v>52</v>
      </c>
      <c r="F67">
        <v>57</v>
      </c>
      <c r="G67">
        <v>67</v>
      </c>
      <c r="H67">
        <v>64</v>
      </c>
      <c r="I67">
        <v>286</v>
      </c>
      <c r="J67">
        <v>500</v>
      </c>
      <c r="K67">
        <v>0.57199999999999995</v>
      </c>
      <c r="L67">
        <v>0.42799999999999999</v>
      </c>
    </row>
    <row r="68" spans="1:12" x14ac:dyDescent="0.3">
      <c r="A68" t="s">
        <v>197</v>
      </c>
      <c r="B68" t="s">
        <v>198</v>
      </c>
      <c r="C68" t="s">
        <v>17</v>
      </c>
      <c r="D68">
        <v>11</v>
      </c>
      <c r="E68">
        <v>69</v>
      </c>
      <c r="F68">
        <v>49</v>
      </c>
      <c r="G68">
        <v>90</v>
      </c>
      <c r="H68">
        <v>99</v>
      </c>
      <c r="I68">
        <v>318</v>
      </c>
      <c r="J68">
        <v>500</v>
      </c>
      <c r="K68">
        <v>0.63600000000000001</v>
      </c>
      <c r="L68">
        <v>0.36399999999999999</v>
      </c>
    </row>
    <row r="69" spans="1:12" x14ac:dyDescent="0.3">
      <c r="A69" t="s">
        <v>141</v>
      </c>
      <c r="B69" t="s">
        <v>142</v>
      </c>
      <c r="C69" t="s">
        <v>29</v>
      </c>
      <c r="D69">
        <v>44</v>
      </c>
      <c r="E69">
        <v>60</v>
      </c>
      <c r="F69">
        <v>71</v>
      </c>
      <c r="G69">
        <v>34</v>
      </c>
      <c r="H69">
        <v>37</v>
      </c>
      <c r="I69">
        <v>246</v>
      </c>
      <c r="J69">
        <v>500</v>
      </c>
      <c r="K69">
        <v>0.49199999999999999</v>
      </c>
      <c r="L69">
        <v>0.50800000000000001</v>
      </c>
    </row>
    <row r="70" spans="1:12" x14ac:dyDescent="0.3">
      <c r="A70" t="s">
        <v>40</v>
      </c>
      <c r="B70" t="s">
        <v>41</v>
      </c>
      <c r="C70" t="s">
        <v>20</v>
      </c>
      <c r="D70">
        <v>63</v>
      </c>
      <c r="E70">
        <v>17</v>
      </c>
      <c r="F70">
        <v>40</v>
      </c>
      <c r="G70">
        <v>48</v>
      </c>
      <c r="H70">
        <v>51</v>
      </c>
      <c r="I70">
        <v>219</v>
      </c>
      <c r="J70">
        <v>500</v>
      </c>
      <c r="K70">
        <v>0.438</v>
      </c>
      <c r="L70">
        <v>0.56200000000000006</v>
      </c>
    </row>
    <row r="71" spans="1:12" x14ac:dyDescent="0.3">
      <c r="A71" t="s">
        <v>104</v>
      </c>
      <c r="B71" t="s">
        <v>105</v>
      </c>
      <c r="C71" t="s">
        <v>20</v>
      </c>
      <c r="D71">
        <v>86</v>
      </c>
      <c r="E71">
        <v>22</v>
      </c>
      <c r="F71">
        <v>10</v>
      </c>
      <c r="G71">
        <v>60</v>
      </c>
      <c r="H71">
        <v>28</v>
      </c>
      <c r="I71">
        <v>206</v>
      </c>
      <c r="J71">
        <v>500</v>
      </c>
      <c r="K71">
        <v>0.41199999999999998</v>
      </c>
      <c r="L71">
        <v>0.58800000000000008</v>
      </c>
    </row>
    <row r="72" spans="1:12" x14ac:dyDescent="0.3">
      <c r="A72" t="s">
        <v>273</v>
      </c>
      <c r="B72" t="s">
        <v>274</v>
      </c>
      <c r="C72" t="s">
        <v>35</v>
      </c>
      <c r="D72">
        <v>42</v>
      </c>
      <c r="E72">
        <v>24</v>
      </c>
      <c r="F72">
        <v>19</v>
      </c>
      <c r="G72">
        <v>82</v>
      </c>
      <c r="H72">
        <v>16</v>
      </c>
      <c r="I72">
        <v>183</v>
      </c>
      <c r="J72">
        <v>500</v>
      </c>
      <c r="K72">
        <v>0.36599999999999999</v>
      </c>
      <c r="L72">
        <v>0.63400000000000001</v>
      </c>
    </row>
    <row r="73" spans="1:12" x14ac:dyDescent="0.3">
      <c r="A73" t="s">
        <v>205</v>
      </c>
      <c r="B73" t="s">
        <v>206</v>
      </c>
      <c r="C73" t="s">
        <v>29</v>
      </c>
      <c r="D73">
        <v>96</v>
      </c>
      <c r="E73">
        <v>14</v>
      </c>
      <c r="F73">
        <v>20</v>
      </c>
      <c r="G73">
        <v>31</v>
      </c>
      <c r="H73">
        <v>44</v>
      </c>
      <c r="I73">
        <v>205</v>
      </c>
      <c r="J73">
        <v>500</v>
      </c>
      <c r="K73">
        <v>0.41</v>
      </c>
      <c r="L73">
        <v>0.59000000000000008</v>
      </c>
    </row>
    <row r="74" spans="1:12" x14ac:dyDescent="0.3">
      <c r="A74" t="s">
        <v>157</v>
      </c>
      <c r="B74" t="s">
        <v>158</v>
      </c>
      <c r="C74" t="s">
        <v>29</v>
      </c>
      <c r="D74">
        <v>51</v>
      </c>
      <c r="E74">
        <v>26</v>
      </c>
      <c r="F74">
        <v>58</v>
      </c>
      <c r="G74">
        <v>83</v>
      </c>
      <c r="H74">
        <v>11</v>
      </c>
      <c r="I74">
        <v>229</v>
      </c>
      <c r="J74">
        <v>500</v>
      </c>
      <c r="K74">
        <v>0.45800000000000002</v>
      </c>
      <c r="L74">
        <v>0.54200000000000004</v>
      </c>
    </row>
    <row r="75" spans="1:12" x14ac:dyDescent="0.3">
      <c r="A75" t="s">
        <v>231</v>
      </c>
      <c r="B75" t="s">
        <v>232</v>
      </c>
      <c r="C75" t="s">
        <v>20</v>
      </c>
      <c r="D75">
        <v>61</v>
      </c>
      <c r="E75">
        <v>91</v>
      </c>
      <c r="F75">
        <v>53</v>
      </c>
      <c r="G75">
        <v>78</v>
      </c>
      <c r="H75">
        <v>91</v>
      </c>
      <c r="I75">
        <v>374</v>
      </c>
      <c r="J75">
        <v>500</v>
      </c>
      <c r="K75">
        <v>0.748</v>
      </c>
      <c r="L75">
        <v>0.252</v>
      </c>
    </row>
    <row r="76" spans="1:12" x14ac:dyDescent="0.3">
      <c r="A76" t="s">
        <v>219</v>
      </c>
      <c r="B76" t="s">
        <v>220</v>
      </c>
      <c r="C76" t="s">
        <v>26</v>
      </c>
      <c r="D76">
        <v>49</v>
      </c>
      <c r="E76">
        <v>77</v>
      </c>
      <c r="F76">
        <v>18</v>
      </c>
      <c r="G76">
        <v>69</v>
      </c>
      <c r="H76">
        <v>55</v>
      </c>
      <c r="I76">
        <v>268</v>
      </c>
      <c r="J76">
        <v>500</v>
      </c>
      <c r="K76">
        <v>0.53600000000000003</v>
      </c>
      <c r="L76">
        <v>0.46400000000000002</v>
      </c>
    </row>
    <row r="77" spans="1:12" x14ac:dyDescent="0.3">
      <c r="A77" t="s">
        <v>237</v>
      </c>
      <c r="B77" t="s">
        <v>238</v>
      </c>
      <c r="C77" t="s">
        <v>29</v>
      </c>
      <c r="D77">
        <v>83</v>
      </c>
      <c r="E77">
        <v>62</v>
      </c>
      <c r="F77">
        <v>32</v>
      </c>
      <c r="G77">
        <v>83</v>
      </c>
      <c r="H77">
        <v>95</v>
      </c>
      <c r="I77">
        <v>355</v>
      </c>
      <c r="J77">
        <v>500</v>
      </c>
      <c r="K77">
        <v>0.71</v>
      </c>
      <c r="L77">
        <v>0.28999999999999998</v>
      </c>
    </row>
    <row r="78" spans="1:12" x14ac:dyDescent="0.3">
      <c r="A78" t="s">
        <v>115</v>
      </c>
      <c r="B78" t="s">
        <v>116</v>
      </c>
      <c r="C78" t="s">
        <v>14</v>
      </c>
      <c r="D78">
        <v>73</v>
      </c>
      <c r="E78">
        <v>72</v>
      </c>
      <c r="F78">
        <v>38</v>
      </c>
      <c r="G78">
        <v>19</v>
      </c>
      <c r="H78">
        <v>90</v>
      </c>
      <c r="I78">
        <v>292</v>
      </c>
      <c r="J78">
        <v>500</v>
      </c>
      <c r="K78">
        <v>0.58399999999999996</v>
      </c>
      <c r="L78">
        <v>0.41599999999999998</v>
      </c>
    </row>
    <row r="79" spans="1:12" x14ac:dyDescent="0.3">
      <c r="A79" t="s">
        <v>84</v>
      </c>
      <c r="B79" t="s">
        <v>85</v>
      </c>
      <c r="C79" t="s">
        <v>14</v>
      </c>
      <c r="D79">
        <v>83</v>
      </c>
      <c r="E79">
        <v>46</v>
      </c>
      <c r="F79">
        <v>17</v>
      </c>
      <c r="G79">
        <v>94</v>
      </c>
      <c r="H79">
        <v>92</v>
      </c>
      <c r="I79">
        <v>332</v>
      </c>
      <c r="J79">
        <v>500</v>
      </c>
      <c r="K79">
        <v>0.66400000000000003</v>
      </c>
      <c r="L79">
        <v>0.33600000000000002</v>
      </c>
    </row>
    <row r="80" spans="1:12" x14ac:dyDescent="0.3">
      <c r="A80" t="s">
        <v>56</v>
      </c>
      <c r="B80" t="s">
        <v>57</v>
      </c>
      <c r="C80" t="s">
        <v>20</v>
      </c>
      <c r="D80">
        <v>19</v>
      </c>
      <c r="E80">
        <v>34</v>
      </c>
      <c r="F80">
        <v>64</v>
      </c>
      <c r="G80">
        <v>65</v>
      </c>
      <c r="H80">
        <v>70</v>
      </c>
      <c r="I80">
        <v>252</v>
      </c>
      <c r="J80">
        <v>500</v>
      </c>
      <c r="K80">
        <v>0.504</v>
      </c>
      <c r="L80">
        <v>0.496</v>
      </c>
    </row>
    <row r="81" spans="1:12" x14ac:dyDescent="0.3">
      <c r="A81" t="s">
        <v>153</v>
      </c>
      <c r="B81" t="s">
        <v>154</v>
      </c>
      <c r="C81" t="s">
        <v>23</v>
      </c>
      <c r="D81">
        <v>70</v>
      </c>
      <c r="E81">
        <v>52</v>
      </c>
      <c r="F81">
        <v>80</v>
      </c>
      <c r="G81">
        <v>43</v>
      </c>
      <c r="H81">
        <v>48</v>
      </c>
      <c r="I81">
        <v>293</v>
      </c>
      <c r="J81">
        <v>500</v>
      </c>
      <c r="K81">
        <v>0.58599999999999997</v>
      </c>
      <c r="L81">
        <v>0.41399999999999998</v>
      </c>
    </row>
    <row r="82" spans="1:12" x14ac:dyDescent="0.3">
      <c r="A82" t="s">
        <v>295</v>
      </c>
      <c r="B82" t="s">
        <v>296</v>
      </c>
      <c r="C82" t="s">
        <v>20</v>
      </c>
      <c r="D82">
        <v>85</v>
      </c>
      <c r="E82">
        <v>43</v>
      </c>
      <c r="F82">
        <v>74</v>
      </c>
      <c r="G82">
        <v>26</v>
      </c>
      <c r="H82">
        <v>88</v>
      </c>
      <c r="I82">
        <v>316</v>
      </c>
      <c r="J82">
        <v>500</v>
      </c>
      <c r="K82">
        <v>0.63200000000000001</v>
      </c>
      <c r="L82">
        <v>0.36799999999999999</v>
      </c>
    </row>
    <row r="83" spans="1:12" x14ac:dyDescent="0.3">
      <c r="A83" t="s">
        <v>64</v>
      </c>
      <c r="B83" t="s">
        <v>65</v>
      </c>
      <c r="C83" t="s">
        <v>32</v>
      </c>
      <c r="D83">
        <v>57</v>
      </c>
      <c r="E83">
        <v>28</v>
      </c>
      <c r="F83">
        <v>31</v>
      </c>
      <c r="G83">
        <v>34</v>
      </c>
      <c r="H83">
        <v>52</v>
      </c>
      <c r="I83">
        <v>202</v>
      </c>
      <c r="J83">
        <v>500</v>
      </c>
      <c r="K83">
        <v>0.40400000000000003</v>
      </c>
      <c r="L83">
        <v>0.59599999999999997</v>
      </c>
    </row>
    <row r="84" spans="1:12" x14ac:dyDescent="0.3">
      <c r="A84" t="s">
        <v>135</v>
      </c>
      <c r="B84" t="s">
        <v>136</v>
      </c>
      <c r="C84" t="s">
        <v>20</v>
      </c>
      <c r="D84">
        <v>83</v>
      </c>
      <c r="E84">
        <v>12</v>
      </c>
      <c r="F84">
        <v>70</v>
      </c>
      <c r="G84">
        <v>83</v>
      </c>
      <c r="H84">
        <v>52</v>
      </c>
      <c r="I84">
        <v>300</v>
      </c>
      <c r="J84">
        <v>500</v>
      </c>
      <c r="K84">
        <v>0.6</v>
      </c>
      <c r="L84">
        <v>0.4</v>
      </c>
    </row>
    <row r="85" spans="1:12" x14ac:dyDescent="0.3">
      <c r="A85" t="s">
        <v>44</v>
      </c>
      <c r="B85" t="s">
        <v>45</v>
      </c>
      <c r="C85" t="s">
        <v>26</v>
      </c>
      <c r="D85">
        <v>95</v>
      </c>
      <c r="E85">
        <v>88</v>
      </c>
      <c r="F85">
        <v>11</v>
      </c>
      <c r="G85">
        <v>78</v>
      </c>
      <c r="H85">
        <v>60</v>
      </c>
      <c r="I85">
        <v>332</v>
      </c>
      <c r="J85">
        <v>500</v>
      </c>
      <c r="K85">
        <v>0.66400000000000003</v>
      </c>
      <c r="L85">
        <v>0.33600000000000002</v>
      </c>
    </row>
    <row r="86" spans="1:12" x14ac:dyDescent="0.3">
      <c r="A86" t="s">
        <v>68</v>
      </c>
      <c r="B86" t="s">
        <v>69</v>
      </c>
      <c r="C86" t="s">
        <v>14</v>
      </c>
      <c r="D86">
        <v>47</v>
      </c>
      <c r="E86">
        <v>99</v>
      </c>
      <c r="F86">
        <v>94</v>
      </c>
      <c r="G86">
        <v>75</v>
      </c>
      <c r="H86">
        <v>29</v>
      </c>
      <c r="I86">
        <v>344</v>
      </c>
      <c r="J86">
        <v>500</v>
      </c>
      <c r="K86">
        <v>0.68799999999999994</v>
      </c>
      <c r="L86">
        <v>0.31200000000000011</v>
      </c>
    </row>
    <row r="87" spans="1:12" x14ac:dyDescent="0.3">
      <c r="A87" t="s">
        <v>189</v>
      </c>
      <c r="B87" t="s">
        <v>190</v>
      </c>
      <c r="C87" t="s">
        <v>29</v>
      </c>
      <c r="D87">
        <v>46</v>
      </c>
      <c r="E87">
        <v>19</v>
      </c>
      <c r="F87">
        <v>59</v>
      </c>
      <c r="G87">
        <v>58</v>
      </c>
      <c r="H87">
        <v>33</v>
      </c>
      <c r="I87">
        <v>215</v>
      </c>
      <c r="J87">
        <v>500</v>
      </c>
      <c r="K87">
        <v>0.43</v>
      </c>
      <c r="L87">
        <v>0.57000000000000006</v>
      </c>
    </row>
    <row r="88" spans="1:12" x14ac:dyDescent="0.3">
      <c r="A88" t="s">
        <v>179</v>
      </c>
      <c r="B88" t="s">
        <v>180</v>
      </c>
      <c r="C88" t="s">
        <v>14</v>
      </c>
      <c r="D88">
        <v>71</v>
      </c>
      <c r="E88">
        <v>94</v>
      </c>
      <c r="F88">
        <v>45</v>
      </c>
      <c r="G88">
        <v>95</v>
      </c>
      <c r="H88">
        <v>46</v>
      </c>
      <c r="I88">
        <v>351</v>
      </c>
      <c r="J88">
        <v>500</v>
      </c>
      <c r="K88">
        <v>0.70199999999999996</v>
      </c>
      <c r="L88">
        <v>0.29799999999999999</v>
      </c>
    </row>
    <row r="89" spans="1:12" x14ac:dyDescent="0.3">
      <c r="A89" t="s">
        <v>209</v>
      </c>
      <c r="B89" t="s">
        <v>210</v>
      </c>
      <c r="C89" t="s">
        <v>35</v>
      </c>
      <c r="D89">
        <v>35</v>
      </c>
      <c r="E89">
        <v>79</v>
      </c>
      <c r="F89">
        <v>17</v>
      </c>
      <c r="G89">
        <v>85</v>
      </c>
      <c r="H89">
        <v>16</v>
      </c>
      <c r="I89">
        <v>232</v>
      </c>
      <c r="J89">
        <v>500</v>
      </c>
      <c r="K89">
        <v>0.46400000000000002</v>
      </c>
      <c r="L89">
        <v>0.53600000000000003</v>
      </c>
    </row>
    <row r="90" spans="1:12" x14ac:dyDescent="0.3">
      <c r="A90" t="s">
        <v>181</v>
      </c>
      <c r="B90" t="s">
        <v>182</v>
      </c>
      <c r="C90" t="s">
        <v>17</v>
      </c>
      <c r="D90">
        <v>48</v>
      </c>
      <c r="E90">
        <v>49</v>
      </c>
      <c r="F90">
        <v>68</v>
      </c>
      <c r="G90">
        <v>23</v>
      </c>
      <c r="H90">
        <v>21</v>
      </c>
      <c r="I90">
        <v>209</v>
      </c>
      <c r="J90">
        <v>500</v>
      </c>
      <c r="K90">
        <v>0.41799999999999998</v>
      </c>
      <c r="L90">
        <v>0.58200000000000007</v>
      </c>
    </row>
    <row r="91" spans="1:12" x14ac:dyDescent="0.3">
      <c r="A91" t="s">
        <v>107</v>
      </c>
      <c r="B91" t="s">
        <v>108</v>
      </c>
      <c r="C91" t="s">
        <v>26</v>
      </c>
      <c r="D91">
        <v>80</v>
      </c>
      <c r="E91">
        <v>51</v>
      </c>
      <c r="F91">
        <v>15</v>
      </c>
      <c r="G91">
        <v>97</v>
      </c>
      <c r="H91">
        <v>42</v>
      </c>
      <c r="I91">
        <v>285</v>
      </c>
      <c r="J91">
        <v>500</v>
      </c>
      <c r="K91">
        <v>0.56999999999999995</v>
      </c>
      <c r="L91">
        <v>0.43</v>
      </c>
    </row>
    <row r="92" spans="1:12" x14ac:dyDescent="0.3">
      <c r="A92" t="s">
        <v>27</v>
      </c>
      <c r="B92" t="s">
        <v>28</v>
      </c>
      <c r="C92" t="s">
        <v>29</v>
      </c>
      <c r="D92">
        <v>86</v>
      </c>
      <c r="E92">
        <v>31</v>
      </c>
      <c r="F92">
        <v>23</v>
      </c>
      <c r="G92">
        <v>48</v>
      </c>
      <c r="H92">
        <v>77</v>
      </c>
      <c r="I92">
        <v>265</v>
      </c>
      <c r="J92">
        <v>500</v>
      </c>
      <c r="K92">
        <v>0.53</v>
      </c>
      <c r="L92">
        <v>0.47</v>
      </c>
    </row>
    <row r="93" spans="1:12" x14ac:dyDescent="0.3">
      <c r="A93" t="s">
        <v>241</v>
      </c>
      <c r="B93" t="s">
        <v>242</v>
      </c>
      <c r="C93" t="s">
        <v>35</v>
      </c>
      <c r="D93">
        <v>93</v>
      </c>
      <c r="E93">
        <v>74</v>
      </c>
      <c r="F93">
        <v>85</v>
      </c>
      <c r="G93">
        <v>47</v>
      </c>
      <c r="H93">
        <v>90</v>
      </c>
      <c r="I93">
        <v>389</v>
      </c>
      <c r="J93">
        <v>500</v>
      </c>
      <c r="K93">
        <v>0.77800000000000002</v>
      </c>
      <c r="L93">
        <v>0.222</v>
      </c>
    </row>
    <row r="94" spans="1:12" x14ac:dyDescent="0.3">
      <c r="A94" t="s">
        <v>235</v>
      </c>
      <c r="B94" t="s">
        <v>236</v>
      </c>
      <c r="C94" t="s">
        <v>26</v>
      </c>
      <c r="D94">
        <v>24</v>
      </c>
      <c r="E94">
        <v>31</v>
      </c>
      <c r="F94">
        <v>41</v>
      </c>
      <c r="G94">
        <v>57</v>
      </c>
      <c r="H94">
        <v>83</v>
      </c>
      <c r="I94">
        <v>236</v>
      </c>
      <c r="J94">
        <v>500</v>
      </c>
      <c r="K94">
        <v>0.47199999999999998</v>
      </c>
      <c r="L94">
        <v>0.52800000000000002</v>
      </c>
    </row>
    <row r="95" spans="1:12" x14ac:dyDescent="0.3">
      <c r="A95" t="s">
        <v>173</v>
      </c>
      <c r="B95" t="s">
        <v>174</v>
      </c>
      <c r="C95" t="s">
        <v>29</v>
      </c>
      <c r="D95">
        <v>50</v>
      </c>
      <c r="E95">
        <v>44</v>
      </c>
      <c r="F95">
        <v>46</v>
      </c>
      <c r="G95">
        <v>13</v>
      </c>
      <c r="H95">
        <v>92</v>
      </c>
      <c r="I95">
        <v>245</v>
      </c>
      <c r="J95">
        <v>500</v>
      </c>
      <c r="K95">
        <v>0.49</v>
      </c>
      <c r="L95">
        <v>0.51</v>
      </c>
    </row>
    <row r="96" spans="1:12" x14ac:dyDescent="0.3">
      <c r="A96" t="s">
        <v>259</v>
      </c>
      <c r="B96" t="s">
        <v>260</v>
      </c>
      <c r="C96" t="s">
        <v>14</v>
      </c>
      <c r="D96">
        <v>91</v>
      </c>
      <c r="E96">
        <v>38</v>
      </c>
      <c r="F96">
        <v>33</v>
      </c>
      <c r="G96">
        <v>55</v>
      </c>
      <c r="H96">
        <v>83</v>
      </c>
      <c r="I96">
        <v>300</v>
      </c>
      <c r="J96">
        <v>500</v>
      </c>
      <c r="K96">
        <v>0.6</v>
      </c>
      <c r="L96">
        <v>0.4</v>
      </c>
    </row>
    <row r="97" spans="1:12" x14ac:dyDescent="0.3">
      <c r="A97" t="s">
        <v>36</v>
      </c>
      <c r="B97" t="s">
        <v>37</v>
      </c>
      <c r="C97" t="s">
        <v>14</v>
      </c>
      <c r="D97">
        <v>54</v>
      </c>
      <c r="E97">
        <v>26</v>
      </c>
      <c r="F97">
        <v>53</v>
      </c>
      <c r="G97">
        <v>36</v>
      </c>
      <c r="H97">
        <v>20</v>
      </c>
      <c r="I97">
        <v>189</v>
      </c>
      <c r="J97">
        <v>500</v>
      </c>
      <c r="K97">
        <v>0.378</v>
      </c>
      <c r="L97">
        <v>0.622</v>
      </c>
    </row>
    <row r="98" spans="1:12" x14ac:dyDescent="0.3">
      <c r="A98" t="s">
        <v>119</v>
      </c>
      <c r="B98" t="s">
        <v>120</v>
      </c>
      <c r="C98" t="s">
        <v>20</v>
      </c>
      <c r="D98">
        <v>52</v>
      </c>
      <c r="E98">
        <v>36</v>
      </c>
      <c r="F98">
        <v>84</v>
      </c>
      <c r="G98">
        <v>41</v>
      </c>
      <c r="H98">
        <v>57</v>
      </c>
      <c r="I98">
        <v>270</v>
      </c>
      <c r="J98">
        <v>500</v>
      </c>
      <c r="K98">
        <v>0.54</v>
      </c>
      <c r="L98">
        <v>0.46</v>
      </c>
    </row>
    <row r="99" spans="1:12" x14ac:dyDescent="0.3">
      <c r="A99" t="s">
        <v>187</v>
      </c>
      <c r="B99" t="s">
        <v>188</v>
      </c>
      <c r="C99" t="s">
        <v>26</v>
      </c>
      <c r="D99">
        <v>39</v>
      </c>
      <c r="E99">
        <v>87</v>
      </c>
      <c r="F99">
        <v>62</v>
      </c>
      <c r="G99">
        <v>80</v>
      </c>
      <c r="H99">
        <v>81</v>
      </c>
      <c r="I99">
        <v>349</v>
      </c>
      <c r="J99">
        <v>500</v>
      </c>
      <c r="K99">
        <v>0.69799999999999995</v>
      </c>
      <c r="L99">
        <v>0.30199999999999999</v>
      </c>
    </row>
    <row r="100" spans="1:12" x14ac:dyDescent="0.3">
      <c r="A100" t="s">
        <v>143</v>
      </c>
      <c r="B100" t="s">
        <v>144</v>
      </c>
      <c r="C100" t="s">
        <v>32</v>
      </c>
      <c r="D100">
        <v>43</v>
      </c>
      <c r="E100">
        <v>78</v>
      </c>
      <c r="F100">
        <v>15</v>
      </c>
      <c r="G100">
        <v>98</v>
      </c>
      <c r="H100">
        <v>33</v>
      </c>
      <c r="I100">
        <v>267</v>
      </c>
      <c r="J100">
        <v>500</v>
      </c>
      <c r="K100">
        <v>0.53400000000000003</v>
      </c>
      <c r="L100">
        <v>0.46600000000000003</v>
      </c>
    </row>
    <row r="101" spans="1:12" x14ac:dyDescent="0.3">
      <c r="A101" t="s">
        <v>277</v>
      </c>
      <c r="B101" t="s">
        <v>278</v>
      </c>
      <c r="C101" t="s">
        <v>17</v>
      </c>
      <c r="D101">
        <v>81</v>
      </c>
      <c r="E101">
        <v>68</v>
      </c>
      <c r="F101">
        <v>74</v>
      </c>
      <c r="G101">
        <v>72</v>
      </c>
      <c r="H101">
        <v>12</v>
      </c>
      <c r="I101">
        <v>307</v>
      </c>
      <c r="J101">
        <v>500</v>
      </c>
      <c r="K101">
        <v>0.61399999999999999</v>
      </c>
      <c r="L101">
        <v>0.38600000000000001</v>
      </c>
    </row>
    <row r="102" spans="1:12" x14ac:dyDescent="0.3">
      <c r="A102" t="s">
        <v>167</v>
      </c>
      <c r="B102" t="s">
        <v>168</v>
      </c>
      <c r="C102" t="s">
        <v>20</v>
      </c>
      <c r="D102">
        <v>12</v>
      </c>
      <c r="E102">
        <v>97</v>
      </c>
      <c r="F102">
        <v>45</v>
      </c>
      <c r="G102">
        <v>29</v>
      </c>
      <c r="H102">
        <v>41</v>
      </c>
      <c r="I102">
        <v>224</v>
      </c>
      <c r="J102">
        <v>500</v>
      </c>
      <c r="K102">
        <v>0.44800000000000001</v>
      </c>
      <c r="L102">
        <v>0.55200000000000005</v>
      </c>
    </row>
    <row r="103" spans="1:12" x14ac:dyDescent="0.3">
      <c r="A103" t="s">
        <v>165</v>
      </c>
      <c r="B103" t="s">
        <v>166</v>
      </c>
      <c r="C103" t="s">
        <v>17</v>
      </c>
      <c r="D103">
        <v>41</v>
      </c>
      <c r="E103">
        <v>17</v>
      </c>
      <c r="F103">
        <v>82</v>
      </c>
      <c r="G103">
        <v>75</v>
      </c>
      <c r="H103">
        <v>39</v>
      </c>
      <c r="I103">
        <v>254</v>
      </c>
      <c r="J103">
        <v>500</v>
      </c>
      <c r="K103">
        <v>0.50800000000000001</v>
      </c>
      <c r="L103">
        <v>0.49199999999999999</v>
      </c>
    </row>
    <row r="104" spans="1:12" x14ac:dyDescent="0.3">
      <c r="A104" t="s">
        <v>185</v>
      </c>
      <c r="B104" t="s">
        <v>186</v>
      </c>
      <c r="C104" t="s">
        <v>23</v>
      </c>
      <c r="D104">
        <v>81</v>
      </c>
      <c r="E104">
        <v>63</v>
      </c>
      <c r="F104">
        <v>88</v>
      </c>
      <c r="G104">
        <v>89</v>
      </c>
      <c r="H104">
        <v>63</v>
      </c>
      <c r="I104">
        <v>384</v>
      </c>
      <c r="J104">
        <v>500</v>
      </c>
      <c r="K104">
        <v>0.76800000000000002</v>
      </c>
      <c r="L104">
        <v>0.23200000000000001</v>
      </c>
    </row>
    <row r="105" spans="1:12" x14ac:dyDescent="0.3">
      <c r="A105" t="s">
        <v>30</v>
      </c>
      <c r="B105" t="s">
        <v>31</v>
      </c>
      <c r="C105" t="s">
        <v>32</v>
      </c>
      <c r="D105">
        <v>84</v>
      </c>
      <c r="E105">
        <v>28</v>
      </c>
      <c r="F105">
        <v>98</v>
      </c>
      <c r="G105">
        <v>80</v>
      </c>
      <c r="H105">
        <v>79</v>
      </c>
      <c r="I105">
        <v>369</v>
      </c>
      <c r="J105">
        <v>500</v>
      </c>
      <c r="K105">
        <v>0.73799999999999999</v>
      </c>
      <c r="L105">
        <v>0.26200000000000001</v>
      </c>
    </row>
    <row r="106" spans="1:12" x14ac:dyDescent="0.3">
      <c r="A106" t="s">
        <v>125</v>
      </c>
      <c r="B106" t="s">
        <v>126</v>
      </c>
      <c r="C106" t="s">
        <v>29</v>
      </c>
      <c r="D106">
        <v>23</v>
      </c>
      <c r="E106">
        <v>14</v>
      </c>
      <c r="F106">
        <v>15</v>
      </c>
      <c r="G106">
        <v>58</v>
      </c>
      <c r="H106">
        <v>79</v>
      </c>
      <c r="I106">
        <v>189</v>
      </c>
      <c r="J106">
        <v>500</v>
      </c>
      <c r="K106">
        <v>0.378</v>
      </c>
      <c r="L106">
        <v>0.622</v>
      </c>
    </row>
    <row r="107" spans="1:12" x14ac:dyDescent="0.3">
      <c r="A107" t="s">
        <v>269</v>
      </c>
      <c r="B107" t="s">
        <v>270</v>
      </c>
      <c r="C107" t="s">
        <v>29</v>
      </c>
      <c r="D107">
        <v>41</v>
      </c>
      <c r="E107">
        <v>66</v>
      </c>
      <c r="F107">
        <v>48</v>
      </c>
      <c r="G107">
        <v>70</v>
      </c>
      <c r="H107">
        <v>48</v>
      </c>
      <c r="I107">
        <v>273</v>
      </c>
      <c r="J107">
        <v>500</v>
      </c>
      <c r="K107">
        <v>0.54600000000000004</v>
      </c>
      <c r="L107">
        <v>0.45400000000000001</v>
      </c>
    </row>
    <row r="109" spans="1:12" x14ac:dyDescent="0.3">
      <c r="A109" t="s">
        <v>241</v>
      </c>
      <c r="B109" t="s">
        <v>242</v>
      </c>
      <c r="C109" t="s">
        <v>35</v>
      </c>
      <c r="D109">
        <v>93</v>
      </c>
      <c r="E109">
        <v>74</v>
      </c>
      <c r="F109">
        <v>85</v>
      </c>
      <c r="G109">
        <v>47</v>
      </c>
      <c r="H109">
        <v>90</v>
      </c>
      <c r="I109">
        <v>389</v>
      </c>
      <c r="J109">
        <v>500</v>
      </c>
      <c r="K109">
        <v>0.77800000000000002</v>
      </c>
      <c r="L109">
        <v>0.222</v>
      </c>
    </row>
    <row r="111" spans="1:12" x14ac:dyDescent="0.3">
      <c r="A111" t="s">
        <v>279</v>
      </c>
      <c r="B111" t="s">
        <v>280</v>
      </c>
      <c r="C111" t="s">
        <v>20</v>
      </c>
      <c r="D111">
        <v>90</v>
      </c>
      <c r="E111">
        <v>79</v>
      </c>
      <c r="F111">
        <v>99</v>
      </c>
      <c r="G111">
        <v>60</v>
      </c>
      <c r="H111">
        <v>27</v>
      </c>
      <c r="I111">
        <v>355</v>
      </c>
      <c r="J111">
        <v>500</v>
      </c>
      <c r="K111">
        <v>0.71</v>
      </c>
      <c r="L111">
        <v>0.28999999999999998</v>
      </c>
    </row>
    <row r="112" spans="1:12" x14ac:dyDescent="0.3">
      <c r="A112" t="s">
        <v>121</v>
      </c>
      <c r="B112" t="s">
        <v>122</v>
      </c>
      <c r="C112" t="s">
        <v>23</v>
      </c>
      <c r="D112">
        <v>65</v>
      </c>
      <c r="E112">
        <v>67</v>
      </c>
      <c r="F112">
        <v>72</v>
      </c>
      <c r="G112">
        <v>22</v>
      </c>
      <c r="H112">
        <v>23</v>
      </c>
      <c r="I112">
        <v>249</v>
      </c>
      <c r="J112">
        <v>500</v>
      </c>
      <c r="K112">
        <v>0.498</v>
      </c>
      <c r="L112">
        <v>0.502</v>
      </c>
    </row>
    <row r="113" spans="1:12" x14ac:dyDescent="0.3">
      <c r="A113" t="s">
        <v>207</v>
      </c>
      <c r="B113" t="s">
        <v>208</v>
      </c>
      <c r="C113" t="s">
        <v>32</v>
      </c>
      <c r="D113">
        <v>37</v>
      </c>
      <c r="E113">
        <v>60</v>
      </c>
      <c r="F113">
        <v>50</v>
      </c>
      <c r="G113">
        <v>68</v>
      </c>
      <c r="H113">
        <v>19</v>
      </c>
      <c r="I113">
        <v>234</v>
      </c>
      <c r="J113">
        <v>500</v>
      </c>
      <c r="K113">
        <v>0.46800000000000003</v>
      </c>
      <c r="L113">
        <v>0.53200000000000003</v>
      </c>
    </row>
    <row r="114" spans="1:12" x14ac:dyDescent="0.3">
      <c r="A114" t="s">
        <v>98</v>
      </c>
      <c r="B114" t="s">
        <v>99</v>
      </c>
      <c r="C114" t="s">
        <v>35</v>
      </c>
      <c r="D114">
        <v>37</v>
      </c>
      <c r="E114">
        <v>60</v>
      </c>
      <c r="F114">
        <v>44</v>
      </c>
      <c r="G114">
        <v>61</v>
      </c>
      <c r="H114">
        <v>30</v>
      </c>
      <c r="I114">
        <v>232</v>
      </c>
      <c r="J114">
        <v>500</v>
      </c>
      <c r="K114">
        <v>0.46400000000000002</v>
      </c>
      <c r="L114">
        <v>0.53600000000000003</v>
      </c>
    </row>
    <row r="115" spans="1:12" x14ac:dyDescent="0.3">
      <c r="A115" t="s">
        <v>275</v>
      </c>
      <c r="B115" t="s">
        <v>276</v>
      </c>
      <c r="C115" t="s">
        <v>14</v>
      </c>
      <c r="D115">
        <v>26</v>
      </c>
      <c r="E115">
        <v>85</v>
      </c>
      <c r="F115">
        <v>75</v>
      </c>
      <c r="G115">
        <v>83</v>
      </c>
      <c r="H115">
        <v>37</v>
      </c>
      <c r="I115">
        <v>306</v>
      </c>
      <c r="J115">
        <v>500</v>
      </c>
      <c r="K115">
        <v>0.61199999999999999</v>
      </c>
      <c r="L115">
        <v>0.38800000000000001</v>
      </c>
    </row>
    <row r="116" spans="1:12" x14ac:dyDescent="0.3">
      <c r="A116" t="s">
        <v>283</v>
      </c>
      <c r="B116" t="s">
        <v>284</v>
      </c>
      <c r="C116" t="s">
        <v>26</v>
      </c>
      <c r="D116">
        <v>86</v>
      </c>
      <c r="E116">
        <v>60</v>
      </c>
      <c r="F116">
        <v>59</v>
      </c>
      <c r="G116">
        <v>51</v>
      </c>
      <c r="H116">
        <v>90</v>
      </c>
      <c r="I116">
        <v>346</v>
      </c>
      <c r="J116">
        <v>500</v>
      </c>
      <c r="K116">
        <v>0.69199999999999995</v>
      </c>
      <c r="L116">
        <v>0.30800000000000011</v>
      </c>
    </row>
    <row r="117" spans="1:12" x14ac:dyDescent="0.3">
      <c r="A117" t="s">
        <v>159</v>
      </c>
      <c r="B117" t="s">
        <v>160</v>
      </c>
      <c r="C117" t="s">
        <v>32</v>
      </c>
      <c r="D117">
        <v>68</v>
      </c>
      <c r="E117">
        <v>36</v>
      </c>
      <c r="F117">
        <v>15</v>
      </c>
      <c r="G117">
        <v>20</v>
      </c>
      <c r="H117">
        <v>17</v>
      </c>
      <c r="I117">
        <v>156</v>
      </c>
      <c r="J117">
        <v>500</v>
      </c>
      <c r="K117">
        <v>0.312</v>
      </c>
      <c r="L117">
        <v>0.68799999999999994</v>
      </c>
    </row>
    <row r="118" spans="1:12" x14ac:dyDescent="0.3">
      <c r="A118" t="s">
        <v>195</v>
      </c>
      <c r="B118" t="s">
        <v>196</v>
      </c>
      <c r="C118" t="s">
        <v>14</v>
      </c>
      <c r="D118">
        <v>72</v>
      </c>
      <c r="E118">
        <v>82</v>
      </c>
      <c r="F118">
        <v>58</v>
      </c>
      <c r="G118">
        <v>36</v>
      </c>
      <c r="H118">
        <v>33</v>
      </c>
      <c r="I118">
        <v>281</v>
      </c>
      <c r="J118">
        <v>500</v>
      </c>
      <c r="K118">
        <v>0.56200000000000006</v>
      </c>
      <c r="L118">
        <v>0.43799999999999989</v>
      </c>
    </row>
    <row r="119" spans="1:12" x14ac:dyDescent="0.3">
      <c r="A119" t="s">
        <v>267</v>
      </c>
      <c r="B119" t="s">
        <v>268</v>
      </c>
      <c r="C119" t="s">
        <v>26</v>
      </c>
      <c r="D119">
        <v>31</v>
      </c>
      <c r="E119">
        <v>55</v>
      </c>
      <c r="F119">
        <v>75</v>
      </c>
      <c r="G119">
        <v>66</v>
      </c>
      <c r="H119">
        <v>75</v>
      </c>
      <c r="I119">
        <v>302</v>
      </c>
      <c r="J119">
        <v>500</v>
      </c>
      <c r="K119">
        <v>0.60399999999999998</v>
      </c>
      <c r="L119">
        <v>0.39600000000000002</v>
      </c>
    </row>
    <row r="120" spans="1:12" x14ac:dyDescent="0.3">
      <c r="A120" t="s">
        <v>149</v>
      </c>
      <c r="B120" t="s">
        <v>150</v>
      </c>
      <c r="C120" t="s">
        <v>17</v>
      </c>
      <c r="D120">
        <v>44</v>
      </c>
      <c r="E120">
        <v>36</v>
      </c>
      <c r="F120">
        <v>11</v>
      </c>
      <c r="G120">
        <v>45</v>
      </c>
      <c r="H120">
        <v>30</v>
      </c>
      <c r="I120">
        <v>166</v>
      </c>
      <c r="J120">
        <v>500</v>
      </c>
      <c r="K120">
        <v>0.33200000000000002</v>
      </c>
      <c r="L120">
        <v>0.66799999999999993</v>
      </c>
    </row>
    <row r="121" spans="1:12" x14ac:dyDescent="0.3">
      <c r="A121" t="s">
        <v>247</v>
      </c>
      <c r="B121" t="s">
        <v>248</v>
      </c>
      <c r="C121" t="s">
        <v>20</v>
      </c>
      <c r="D121">
        <v>45</v>
      </c>
      <c r="E121">
        <v>45</v>
      </c>
      <c r="F121">
        <v>61</v>
      </c>
      <c r="G121">
        <v>11</v>
      </c>
      <c r="H121">
        <v>52</v>
      </c>
      <c r="I121">
        <v>214</v>
      </c>
      <c r="J121">
        <v>500</v>
      </c>
      <c r="K121">
        <v>0.42799999999999999</v>
      </c>
      <c r="L121">
        <v>0.57200000000000006</v>
      </c>
    </row>
    <row r="122" spans="1:12" x14ac:dyDescent="0.3">
      <c r="A122" t="s">
        <v>72</v>
      </c>
      <c r="B122" t="s">
        <v>73</v>
      </c>
      <c r="C122" t="s">
        <v>20</v>
      </c>
      <c r="D122">
        <v>72</v>
      </c>
      <c r="E122">
        <v>87</v>
      </c>
      <c r="F122">
        <v>92</v>
      </c>
      <c r="G122">
        <v>72</v>
      </c>
      <c r="H122">
        <v>34</v>
      </c>
      <c r="I122">
        <v>357</v>
      </c>
      <c r="J122">
        <v>500</v>
      </c>
      <c r="K122">
        <v>0.71399999999999997</v>
      </c>
      <c r="L122">
        <v>0.28599999999999998</v>
      </c>
    </row>
    <row r="123" spans="1:12" x14ac:dyDescent="0.3">
      <c r="A123" t="s">
        <v>163</v>
      </c>
      <c r="B123" t="s">
        <v>164</v>
      </c>
      <c r="C123" t="s">
        <v>14</v>
      </c>
      <c r="D123">
        <v>41</v>
      </c>
      <c r="E123">
        <v>11</v>
      </c>
      <c r="F123">
        <v>46</v>
      </c>
      <c r="G123">
        <v>35</v>
      </c>
      <c r="H123">
        <v>10</v>
      </c>
      <c r="I123">
        <v>143</v>
      </c>
      <c r="J123">
        <v>500</v>
      </c>
      <c r="K123">
        <v>0.28599999999999998</v>
      </c>
      <c r="L123">
        <v>0.71399999999999997</v>
      </c>
    </row>
    <row r="124" spans="1:12" x14ac:dyDescent="0.3">
      <c r="A124" t="s">
        <v>129</v>
      </c>
      <c r="B124" t="s">
        <v>130</v>
      </c>
      <c r="C124" t="s">
        <v>35</v>
      </c>
      <c r="D124">
        <v>18</v>
      </c>
      <c r="E124">
        <v>35</v>
      </c>
      <c r="F124">
        <v>82</v>
      </c>
      <c r="G124">
        <v>31</v>
      </c>
      <c r="H124">
        <v>26</v>
      </c>
      <c r="I124">
        <v>192</v>
      </c>
      <c r="J124">
        <v>500</v>
      </c>
      <c r="K124">
        <v>0.38400000000000001</v>
      </c>
      <c r="L124">
        <v>0.61599999999999999</v>
      </c>
    </row>
    <row r="125" spans="1:12" x14ac:dyDescent="0.3">
      <c r="A125" t="s">
        <v>183</v>
      </c>
      <c r="B125" t="s">
        <v>184</v>
      </c>
      <c r="C125" t="s">
        <v>20</v>
      </c>
      <c r="D125">
        <v>77</v>
      </c>
      <c r="E125">
        <v>83</v>
      </c>
      <c r="F125">
        <v>64</v>
      </c>
      <c r="G125">
        <v>53</v>
      </c>
      <c r="H125">
        <v>13</v>
      </c>
      <c r="I125">
        <v>290</v>
      </c>
      <c r="J125">
        <v>500</v>
      </c>
      <c r="K125">
        <v>0.57999999999999996</v>
      </c>
      <c r="L125">
        <v>0.42</v>
      </c>
    </row>
    <row r="126" spans="1:12" x14ac:dyDescent="0.3">
      <c r="A126" t="s">
        <v>177</v>
      </c>
      <c r="B126" t="s">
        <v>178</v>
      </c>
      <c r="C126" t="s">
        <v>35</v>
      </c>
      <c r="D126">
        <v>23</v>
      </c>
      <c r="E126">
        <v>83</v>
      </c>
      <c r="F126">
        <v>63</v>
      </c>
      <c r="G126">
        <v>65</v>
      </c>
      <c r="H126">
        <v>83</v>
      </c>
      <c r="I126">
        <v>317</v>
      </c>
      <c r="J126">
        <v>500</v>
      </c>
      <c r="K126">
        <v>0.63400000000000001</v>
      </c>
      <c r="L126">
        <v>0.36599999999999999</v>
      </c>
    </row>
    <row r="127" spans="1:12" x14ac:dyDescent="0.3">
      <c r="A127" t="s">
        <v>291</v>
      </c>
      <c r="B127" t="s">
        <v>292</v>
      </c>
      <c r="C127" t="s">
        <v>14</v>
      </c>
      <c r="D127">
        <v>73</v>
      </c>
      <c r="E127">
        <v>67</v>
      </c>
      <c r="F127">
        <v>49</v>
      </c>
      <c r="G127">
        <v>56</v>
      </c>
      <c r="H127">
        <v>43</v>
      </c>
      <c r="I127">
        <v>288</v>
      </c>
      <c r="J127">
        <v>500</v>
      </c>
      <c r="K127">
        <v>0.57599999999999996</v>
      </c>
      <c r="L127">
        <v>0.42399999999999999</v>
      </c>
    </row>
    <row r="128" spans="1:12" x14ac:dyDescent="0.3">
      <c r="A128" t="s">
        <v>100</v>
      </c>
      <c r="B128" t="s">
        <v>101</v>
      </c>
      <c r="C128" t="s">
        <v>14</v>
      </c>
      <c r="D128">
        <v>16</v>
      </c>
      <c r="E128">
        <v>46</v>
      </c>
      <c r="F128">
        <v>33</v>
      </c>
      <c r="G128">
        <v>54</v>
      </c>
      <c r="H128">
        <v>58</v>
      </c>
      <c r="I128">
        <v>207</v>
      </c>
      <c r="J128">
        <v>500</v>
      </c>
      <c r="K128">
        <v>0.41399999999999998</v>
      </c>
      <c r="L128">
        <v>0.58600000000000008</v>
      </c>
    </row>
    <row r="129" spans="1:12" x14ac:dyDescent="0.3">
      <c r="A129" t="s">
        <v>255</v>
      </c>
      <c r="B129" t="s">
        <v>256</v>
      </c>
      <c r="C129" t="s">
        <v>32</v>
      </c>
      <c r="D129">
        <v>93</v>
      </c>
      <c r="E129">
        <v>11</v>
      </c>
      <c r="F129">
        <v>93</v>
      </c>
      <c r="G129">
        <v>31</v>
      </c>
      <c r="H129">
        <v>30</v>
      </c>
      <c r="I129">
        <v>258</v>
      </c>
      <c r="J129">
        <v>500</v>
      </c>
      <c r="K129">
        <v>0.51600000000000001</v>
      </c>
      <c r="L129">
        <v>0.48399999999999999</v>
      </c>
    </row>
    <row r="130" spans="1:12" x14ac:dyDescent="0.3">
      <c r="A130" t="s">
        <v>229</v>
      </c>
      <c r="B130" t="s">
        <v>230</v>
      </c>
      <c r="C130" t="s">
        <v>17</v>
      </c>
      <c r="D130">
        <v>61</v>
      </c>
      <c r="E130">
        <v>73</v>
      </c>
      <c r="F130">
        <v>34</v>
      </c>
      <c r="G130">
        <v>30</v>
      </c>
      <c r="H130">
        <v>30</v>
      </c>
      <c r="I130">
        <v>228</v>
      </c>
      <c r="J130">
        <v>500</v>
      </c>
      <c r="K130">
        <v>0.45600000000000002</v>
      </c>
      <c r="L130">
        <v>0.54400000000000004</v>
      </c>
    </row>
    <row r="131" spans="1:12" x14ac:dyDescent="0.3">
      <c r="A131" t="s">
        <v>201</v>
      </c>
      <c r="B131" t="s">
        <v>202</v>
      </c>
      <c r="C131" t="s">
        <v>23</v>
      </c>
      <c r="D131">
        <v>93</v>
      </c>
      <c r="E131">
        <v>42</v>
      </c>
      <c r="F131">
        <v>38</v>
      </c>
      <c r="G131">
        <v>98</v>
      </c>
      <c r="H131">
        <v>10</v>
      </c>
      <c r="I131">
        <v>281</v>
      </c>
      <c r="J131">
        <v>500</v>
      </c>
      <c r="K131">
        <v>0.56200000000000006</v>
      </c>
      <c r="L131">
        <v>0.43799999999999989</v>
      </c>
    </row>
    <row r="132" spans="1:12" x14ac:dyDescent="0.3">
      <c r="A132" t="s">
        <v>215</v>
      </c>
      <c r="B132" t="s">
        <v>216</v>
      </c>
      <c r="C132" t="s">
        <v>20</v>
      </c>
      <c r="D132">
        <v>17</v>
      </c>
      <c r="E132">
        <v>97</v>
      </c>
      <c r="F132">
        <v>81</v>
      </c>
      <c r="G132">
        <v>32</v>
      </c>
      <c r="H132">
        <v>76</v>
      </c>
      <c r="I132">
        <v>303</v>
      </c>
      <c r="J132">
        <v>500</v>
      </c>
      <c r="K132">
        <v>0.60599999999999998</v>
      </c>
      <c r="L132">
        <v>0.39400000000000002</v>
      </c>
    </row>
    <row r="133" spans="1:12" x14ac:dyDescent="0.3">
      <c r="A133" t="s">
        <v>48</v>
      </c>
      <c r="B133" t="s">
        <v>49</v>
      </c>
      <c r="C133" t="s">
        <v>32</v>
      </c>
      <c r="D133">
        <v>78</v>
      </c>
      <c r="E133">
        <v>58</v>
      </c>
      <c r="F133">
        <v>34</v>
      </c>
      <c r="G133">
        <v>84</v>
      </c>
      <c r="H133">
        <v>31</v>
      </c>
      <c r="I133">
        <v>285</v>
      </c>
      <c r="J133">
        <v>500</v>
      </c>
      <c r="K133">
        <v>0.56999999999999995</v>
      </c>
      <c r="L133">
        <v>0.43</v>
      </c>
    </row>
    <row r="134" spans="1:12" x14ac:dyDescent="0.3">
      <c r="A134" t="s">
        <v>273</v>
      </c>
      <c r="B134" t="s">
        <v>274</v>
      </c>
      <c r="C134" t="s">
        <v>35</v>
      </c>
      <c r="D134">
        <v>42</v>
      </c>
      <c r="E134">
        <v>24</v>
      </c>
      <c r="F134">
        <v>19</v>
      </c>
      <c r="G134">
        <v>82</v>
      </c>
      <c r="H134">
        <v>16</v>
      </c>
      <c r="I134">
        <v>183</v>
      </c>
      <c r="J134">
        <v>500</v>
      </c>
      <c r="K134">
        <v>0.36599999999999999</v>
      </c>
      <c r="L134">
        <v>0.63400000000000001</v>
      </c>
    </row>
    <row r="135" spans="1:12" x14ac:dyDescent="0.3">
      <c r="A135" t="s">
        <v>58</v>
      </c>
      <c r="B135" t="s">
        <v>59</v>
      </c>
      <c r="C135" t="s">
        <v>23</v>
      </c>
      <c r="D135">
        <v>93</v>
      </c>
      <c r="E135">
        <v>84</v>
      </c>
      <c r="F135">
        <v>13</v>
      </c>
      <c r="G135">
        <v>45</v>
      </c>
      <c r="H135">
        <v>18</v>
      </c>
      <c r="I135">
        <v>253</v>
      </c>
      <c r="J135">
        <v>500</v>
      </c>
      <c r="K135">
        <v>0.50600000000000001</v>
      </c>
      <c r="L135">
        <v>0.49399999999999999</v>
      </c>
    </row>
    <row r="136" spans="1:12" x14ac:dyDescent="0.3">
      <c r="A136" t="s">
        <v>171</v>
      </c>
      <c r="B136" t="s">
        <v>172</v>
      </c>
      <c r="C136" t="s">
        <v>26</v>
      </c>
      <c r="D136">
        <v>98</v>
      </c>
      <c r="E136">
        <v>15</v>
      </c>
      <c r="F136">
        <v>72</v>
      </c>
      <c r="G136">
        <v>67</v>
      </c>
      <c r="H136">
        <v>34</v>
      </c>
      <c r="I136">
        <v>286</v>
      </c>
      <c r="J136">
        <v>500</v>
      </c>
      <c r="K136">
        <v>0.57199999999999995</v>
      </c>
      <c r="L136">
        <v>0.42799999999999999</v>
      </c>
    </row>
    <row r="137" spans="1:12" x14ac:dyDescent="0.3">
      <c r="A137" t="s">
        <v>233</v>
      </c>
      <c r="B137" t="s">
        <v>234</v>
      </c>
      <c r="C137" t="s">
        <v>23</v>
      </c>
      <c r="D137">
        <v>75</v>
      </c>
      <c r="E137">
        <v>53</v>
      </c>
      <c r="F137">
        <v>27</v>
      </c>
      <c r="G137">
        <v>26</v>
      </c>
      <c r="H137">
        <v>30</v>
      </c>
      <c r="I137">
        <v>211</v>
      </c>
      <c r="J137">
        <v>500</v>
      </c>
      <c r="K137">
        <v>0.42199999999999999</v>
      </c>
      <c r="L137">
        <v>0.57800000000000007</v>
      </c>
    </row>
    <row r="139" spans="1:12" x14ac:dyDescent="0.3">
      <c r="A139" t="s">
        <v>225</v>
      </c>
      <c r="B139" t="s">
        <v>226</v>
      </c>
      <c r="C139" t="s">
        <v>35</v>
      </c>
      <c r="D139">
        <v>86</v>
      </c>
      <c r="E139">
        <v>13</v>
      </c>
      <c r="F139">
        <v>99</v>
      </c>
      <c r="G139">
        <v>25</v>
      </c>
      <c r="H139">
        <v>83</v>
      </c>
      <c r="I139">
        <v>306</v>
      </c>
      <c r="J139">
        <v>500</v>
      </c>
      <c r="K139">
        <v>0.61199999999999999</v>
      </c>
      <c r="L139">
        <v>0.38800000000000001</v>
      </c>
    </row>
    <row r="140" spans="1:12" x14ac:dyDescent="0.3">
      <c r="A140" t="s">
        <v>281</v>
      </c>
      <c r="B140" t="s">
        <v>282</v>
      </c>
      <c r="C140" t="s">
        <v>23</v>
      </c>
      <c r="D140">
        <v>71</v>
      </c>
      <c r="E140">
        <v>21</v>
      </c>
      <c r="F140">
        <v>70</v>
      </c>
      <c r="G140">
        <v>53</v>
      </c>
      <c r="H140">
        <v>49</v>
      </c>
      <c r="I140">
        <v>264</v>
      </c>
      <c r="J140">
        <v>500</v>
      </c>
      <c r="K140">
        <v>0.52800000000000002</v>
      </c>
      <c r="L140">
        <v>0.47199999999999998</v>
      </c>
    </row>
    <row r="141" spans="1:12" x14ac:dyDescent="0.3">
      <c r="A141" t="s">
        <v>139</v>
      </c>
      <c r="B141" t="s">
        <v>140</v>
      </c>
      <c r="C141" t="s">
        <v>26</v>
      </c>
      <c r="D141">
        <v>40</v>
      </c>
      <c r="E141">
        <v>70</v>
      </c>
      <c r="F141">
        <v>19</v>
      </c>
      <c r="G141">
        <v>36</v>
      </c>
      <c r="H141">
        <v>52</v>
      </c>
      <c r="I141">
        <v>217</v>
      </c>
      <c r="J141">
        <v>500</v>
      </c>
      <c r="K141">
        <v>0.434</v>
      </c>
      <c r="L141">
        <v>0.56600000000000006</v>
      </c>
    </row>
    <row r="142" spans="1:12" x14ac:dyDescent="0.3">
      <c r="A142" t="s">
        <v>261</v>
      </c>
      <c r="B142" t="s">
        <v>262</v>
      </c>
      <c r="C142" t="s">
        <v>17</v>
      </c>
      <c r="D142">
        <v>20</v>
      </c>
      <c r="E142">
        <v>94</v>
      </c>
      <c r="F142">
        <v>45</v>
      </c>
      <c r="G142">
        <v>70</v>
      </c>
      <c r="H142">
        <v>98</v>
      </c>
      <c r="I142">
        <v>327</v>
      </c>
      <c r="J142">
        <v>500</v>
      </c>
      <c r="K142">
        <v>0.65400000000000003</v>
      </c>
      <c r="L142">
        <v>0.34599999999999997</v>
      </c>
    </row>
    <row r="143" spans="1:12" x14ac:dyDescent="0.3">
      <c r="A143" t="s">
        <v>137</v>
      </c>
      <c r="B143" t="s">
        <v>138</v>
      </c>
      <c r="C143" t="s">
        <v>23</v>
      </c>
      <c r="D143">
        <v>76</v>
      </c>
      <c r="E143">
        <v>55</v>
      </c>
      <c r="F143">
        <v>56</v>
      </c>
      <c r="G143">
        <v>16</v>
      </c>
      <c r="H143">
        <v>61</v>
      </c>
      <c r="I143">
        <v>264</v>
      </c>
      <c r="J143">
        <v>500</v>
      </c>
      <c r="K143">
        <v>0.52800000000000002</v>
      </c>
      <c r="L143">
        <v>0.47199999999999998</v>
      </c>
    </row>
    <row r="144" spans="1:12" x14ac:dyDescent="0.3">
      <c r="A144" t="s">
        <v>94</v>
      </c>
      <c r="B144" t="s">
        <v>95</v>
      </c>
      <c r="C144" t="s">
        <v>29</v>
      </c>
      <c r="D144">
        <v>66</v>
      </c>
      <c r="E144">
        <v>59</v>
      </c>
      <c r="F144">
        <v>25</v>
      </c>
      <c r="G144">
        <v>55</v>
      </c>
      <c r="H144">
        <v>59</v>
      </c>
      <c r="I144">
        <v>264</v>
      </c>
      <c r="J144">
        <v>500</v>
      </c>
      <c r="K144">
        <v>0.52800000000000002</v>
      </c>
      <c r="L144">
        <v>0.47199999999999998</v>
      </c>
    </row>
    <row r="145" spans="1:12" x14ac:dyDescent="0.3">
      <c r="A145" t="s">
        <v>33</v>
      </c>
      <c r="B145" t="s">
        <v>34</v>
      </c>
      <c r="C145" t="s">
        <v>35</v>
      </c>
      <c r="D145">
        <v>73</v>
      </c>
      <c r="E145">
        <v>97</v>
      </c>
      <c r="F145">
        <v>38</v>
      </c>
      <c r="G145">
        <v>24</v>
      </c>
      <c r="H145">
        <v>53</v>
      </c>
      <c r="I145">
        <v>285</v>
      </c>
      <c r="J145">
        <v>500</v>
      </c>
      <c r="K145">
        <v>0.56999999999999995</v>
      </c>
      <c r="L145">
        <v>0.43</v>
      </c>
    </row>
    <row r="146" spans="1:12" x14ac:dyDescent="0.3">
      <c r="A146" t="s">
        <v>70</v>
      </c>
      <c r="B146" t="s">
        <v>71</v>
      </c>
      <c r="C146" t="s">
        <v>17</v>
      </c>
      <c r="D146">
        <v>16</v>
      </c>
      <c r="E146">
        <v>71</v>
      </c>
      <c r="F146">
        <v>80</v>
      </c>
      <c r="G146">
        <v>76</v>
      </c>
      <c r="H146">
        <v>33</v>
      </c>
      <c r="I146">
        <v>276</v>
      </c>
      <c r="J146">
        <v>500</v>
      </c>
      <c r="K146">
        <v>0.55200000000000005</v>
      </c>
      <c r="L146">
        <v>0.44800000000000001</v>
      </c>
    </row>
    <row r="147" spans="1:12" x14ac:dyDescent="0.3">
      <c r="A147" t="s">
        <v>106</v>
      </c>
      <c r="B147" t="s">
        <v>304</v>
      </c>
      <c r="C147" t="s">
        <v>23</v>
      </c>
      <c r="D147">
        <v>74</v>
      </c>
      <c r="E147">
        <v>17</v>
      </c>
      <c r="F147">
        <v>45</v>
      </c>
      <c r="G147">
        <v>64</v>
      </c>
      <c r="H147">
        <v>13</v>
      </c>
      <c r="I147">
        <v>213</v>
      </c>
      <c r="J147">
        <v>500</v>
      </c>
      <c r="K147">
        <v>0.42599999999999999</v>
      </c>
      <c r="L147">
        <v>0.57400000000000007</v>
      </c>
    </row>
    <row r="148" spans="1:12" x14ac:dyDescent="0.3">
      <c r="A148" t="s">
        <v>102</v>
      </c>
      <c r="B148" t="s">
        <v>103</v>
      </c>
      <c r="C148" t="s">
        <v>17</v>
      </c>
      <c r="D148">
        <v>47</v>
      </c>
      <c r="E148">
        <v>97</v>
      </c>
      <c r="F148">
        <v>74</v>
      </c>
      <c r="G148">
        <v>97</v>
      </c>
      <c r="H148">
        <v>56</v>
      </c>
      <c r="I148">
        <v>371</v>
      </c>
      <c r="J148">
        <v>500</v>
      </c>
      <c r="K148">
        <v>0.74199999999999999</v>
      </c>
      <c r="L148">
        <v>0.25800000000000001</v>
      </c>
    </row>
    <row r="149" spans="1:12" x14ac:dyDescent="0.3">
      <c r="A149" t="s">
        <v>281</v>
      </c>
      <c r="B149" t="s">
        <v>282</v>
      </c>
      <c r="C149" t="s">
        <v>23</v>
      </c>
      <c r="D149">
        <v>71</v>
      </c>
      <c r="E149">
        <v>21</v>
      </c>
      <c r="F149">
        <v>70</v>
      </c>
      <c r="G149">
        <v>53</v>
      </c>
      <c r="H149">
        <v>49</v>
      </c>
      <c r="I149">
        <v>264</v>
      </c>
      <c r="J149">
        <v>500</v>
      </c>
      <c r="K149">
        <v>0.52800000000000002</v>
      </c>
      <c r="L149">
        <v>0.47199999999999998</v>
      </c>
    </row>
    <row r="150" spans="1:12" x14ac:dyDescent="0.3">
      <c r="A150" t="s">
        <v>227</v>
      </c>
      <c r="B150" t="s">
        <v>228</v>
      </c>
      <c r="C150" t="s">
        <v>14</v>
      </c>
      <c r="D150">
        <v>88</v>
      </c>
      <c r="E150">
        <v>96</v>
      </c>
      <c r="F150">
        <v>16</v>
      </c>
      <c r="G150">
        <v>65</v>
      </c>
      <c r="H150">
        <v>86</v>
      </c>
      <c r="I150">
        <v>351</v>
      </c>
      <c r="J150">
        <v>500</v>
      </c>
      <c r="K150">
        <v>0.70199999999999996</v>
      </c>
      <c r="L150">
        <v>0.29799999999999999</v>
      </c>
    </row>
    <row r="151" spans="1:12" x14ac:dyDescent="0.3">
      <c r="A151" t="s">
        <v>74</v>
      </c>
      <c r="B151" t="s">
        <v>75</v>
      </c>
      <c r="C151" t="s">
        <v>23</v>
      </c>
      <c r="D151">
        <v>30</v>
      </c>
      <c r="E151">
        <v>38</v>
      </c>
      <c r="F151">
        <v>70</v>
      </c>
      <c r="G151">
        <v>89</v>
      </c>
      <c r="H151">
        <v>97</v>
      </c>
      <c r="I151">
        <v>324</v>
      </c>
      <c r="J151">
        <v>500</v>
      </c>
      <c r="K151">
        <v>0.64800000000000002</v>
      </c>
      <c r="L151">
        <v>0.35199999999999998</v>
      </c>
    </row>
    <row r="152" spans="1:12" x14ac:dyDescent="0.3">
      <c r="A152" t="s">
        <v>127</v>
      </c>
      <c r="B152" t="s">
        <v>128</v>
      </c>
      <c r="C152" t="s">
        <v>32</v>
      </c>
      <c r="D152">
        <v>15</v>
      </c>
      <c r="E152">
        <v>67</v>
      </c>
      <c r="F152">
        <v>48</v>
      </c>
      <c r="G152">
        <v>95</v>
      </c>
      <c r="H152">
        <v>35</v>
      </c>
      <c r="I152">
        <v>260</v>
      </c>
      <c r="J152">
        <v>500</v>
      </c>
      <c r="K152">
        <v>0.52</v>
      </c>
      <c r="L152">
        <v>0.48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Cleaned_Data</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hasim patel</cp:lastModifiedBy>
  <dcterms:created xsi:type="dcterms:W3CDTF">2022-05-30T01:30:00Z</dcterms:created>
  <dcterms:modified xsi:type="dcterms:W3CDTF">2025-11-21T19:03:08Z</dcterms:modified>
</cp:coreProperties>
</file>